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<sst xmlns="http://schemas.openxmlformats.org/spreadsheetml/2006/main" count="489" uniqueCount="295">
  <si>
    <t xml:space="preserve">#</t>
  </si>
  <si>
    <t xml:space="preserve">Subsystem</t>
  </si>
  <si>
    <t xml:space="preserve">Item</t>
  </si>
  <si>
    <t xml:space="preserve">Function / Notes</t>
  </si>
  <si>
    <t xml:space="preserve">Make or Buy</t>
  </si>
  <si>
    <t xml:space="preserve">Suggested Source / Standard</t>
  </si>
  <si>
    <t xml:space="preserve">Package Reference</t>
  </si>
  <si>
    <t xml:space="preserve">Qty (fill in)</t>
  </si>
  <si>
    <t xml:space="preserve">Unit Cost (fill in)</t>
  </si>
  <si>
    <t xml:space="preserve">Line Total</t>
  </si>
  <si>
    <t xml:space="preserve">1. Lyophilisation Vessel &amp; Chamber</t>
  </si>
  <si>
    <t xml:space="preserve">Downward-conical vessel shell, double-jacketed</t>
  </si>
  <si>
    <t xml:space="preserve">Product-contact pressure/vacuum boundary; holds product through freeze+dry</t>
  </si>
  <si>
    <t xml:space="preserve">Contract out (specialist fabricator) for vacuum-rated unit; Make in-house for atmospheric mockup only</t>
  </si>
  <si>
    <t xml:space="preserve">ASME BPVC Sec. VIII Div.1 UG-28 to UG-30 / ASME BPE / PED (EU)</t>
  </si>
  <si>
    <t xml:space="preserve">05, 09, 10</t>
  </si>
  <si>
    <t xml:space="preserve">Top lid &amp; clamp ring</t>
  </si>
  <si>
    <t xml:space="preserve">Closes vessel top; carries instrument/nozzle ports</t>
  </si>
  <si>
    <t xml:space="preserve">Make</t>
  </si>
  <si>
    <t xml:space="preserve">Sanitary tri-clamp style closure</t>
  </si>
  <si>
    <t xml:space="preserve">05</t>
  </si>
  <si>
    <t xml:space="preserve">Vacuum-rated sight glass</t>
  </si>
  <si>
    <t xml:space="preserve">Visual inspection during cycle</t>
  </si>
  <si>
    <t xml:space="preserve">Buy</t>
  </si>
  <si>
    <t xml:space="preserve">Vacuum-glass manufacturer, rated to full vacuum + cryo temp</t>
  </si>
  <si>
    <t xml:space="preserve">05, 09</t>
  </si>
  <si>
    <t xml:space="preserve">Lid instrument/nozzle bosses (illumination, vent valve, spray nozzle mounts)</t>
  </si>
  <si>
    <t xml:space="preserve">Mounting points for lid-mounted fittings</t>
  </si>
  <si>
    <t xml:space="preserve">Per NL2026893B1 lid fitting layout</t>
  </si>
  <si>
    <t xml:space="preserve">Vessel support ring / lugs</t>
  </si>
  <si>
    <t xml:space="preserve">Structural support to frame</t>
  </si>
  <si>
    <t xml:space="preserve">Standard vessel-support engineering practice</t>
  </si>
  <si>
    <t xml:space="preserve">05, 08</t>
  </si>
  <si>
    <t xml:space="preserve">2. Agitator &amp; Drive</t>
  </si>
  <si>
    <t xml:space="preserve">Agitator shaft &amp; mixing element (screw/paddle/ribbon)</t>
  </si>
  <si>
    <t xml:space="preserve">Wall-scraping agitation; 0.5-15 mm (pref. 1-10 mm) wall clearance</t>
  </si>
  <si>
    <t xml:space="preserve">Per NL1022668C2 disclosed clearance range</t>
  </si>
  <si>
    <t xml:space="preserve">05, 10</t>
  </si>
  <si>
    <t xml:space="preserve">Magnetic coupling drive assembly</t>
  </si>
  <si>
    <t xml:space="preserve">Seal-less torque transmission through vessel wall</t>
  </si>
  <si>
    <t xml:space="preserve">Mag-drive coupling manufacturer (pressure-reactor/pharma-mixer market)</t>
  </si>
  <si>
    <t xml:space="preserve">Rotary shaft seal (alternative to mag coupling)</t>
  </si>
  <si>
    <t xml:space="preserve">Lower-cost sealed shaft penetration</t>
  </si>
  <si>
    <t xml:space="preserve">Vacuum/cryo-rated mechanical seal</t>
  </si>
  <si>
    <t xml:space="preserve">Agitator drive motor + gearbox + VFD</t>
  </si>
  <si>
    <t xml:space="preserve">Variable-speed rotation of agitator</t>
  </si>
  <si>
    <t xml:space="preserve">Standard industrial motor/VFD</t>
  </si>
  <si>
    <t xml:space="preserve">05, 08, 11</t>
  </si>
  <si>
    <t xml:space="preserve">External bearing housing</t>
  </si>
  <si>
    <t xml:space="preserve">Keeps drive bearings outside cold zone</t>
  </si>
  <si>
    <t xml:space="preserve">Per NL1022668C2</t>
  </si>
  <si>
    <t xml:space="preserve">Agitator torque/current monitoring sensor</t>
  </si>
  <si>
    <t xml:space="preserve">In-process freeze/load indicator</t>
  </si>
  <si>
    <t xml:space="preserve">Standard drive instrumentation</t>
  </si>
  <si>
    <t xml:space="preserve">08, 11</t>
  </si>
  <si>
    <t xml:space="preserve">Double mechanical seal + N2 barrier gas system (alternative to mag coupling / single seal)</t>
  </si>
  <si>
    <t xml:space="preserve">Sterile barrier gas held above process pressure; leak path runs into vessel, not out (file 05 addendum)</t>
  </si>
  <si>
    <t xml:space="preserve">Aseptic reactor mechanical seal manufacturer (e.g. John Crane, EagleBurgmann, or equivalent)</t>
  </si>
  <si>
    <t xml:space="preserve">05, 22</t>
  </si>
  <si>
    <t xml:space="preserve">3. Vessel Jacket &amp; TCU</t>
  </si>
  <si>
    <t xml:space="preserve">TCU (Temperature Control Unit) package</t>
  </si>
  <si>
    <t xml:space="preserve">Heats/cools jacket heat-transfer fluid across full cycle</t>
  </si>
  <si>
    <t xml:space="preserve">Buy (or assemble from purchased components)</t>
  </si>
  <si>
    <t xml:space="preserve">Industrial process-chiller/TCU manufacturer</t>
  </si>
  <si>
    <t xml:space="preserve">06, 10</t>
  </si>
  <si>
    <t xml:space="preserve">Heat-transfer fluid (silicone oil)</t>
  </si>
  <si>
    <t xml:space="preserve">Wide-range (-55C to +50C+) jacket fluid</t>
  </si>
  <si>
    <t xml:space="preserve">Buy (consumable)</t>
  </si>
  <si>
    <t xml:space="preserve">Silicone heat-transfer oil, freeze-dryer/reactor grade</t>
  </si>
  <si>
    <t xml:space="preserve">06</t>
  </si>
  <si>
    <t xml:space="preserve">Jacket circulation pump</t>
  </si>
  <si>
    <t xml:space="preserve">Circulates heat-transfer fluid through jacket</t>
  </si>
  <si>
    <t xml:space="preserve">Standard process pump, fluid/viscosity rated</t>
  </si>
  <si>
    <t xml:space="preserve">Jacket supply/return piping + insulation</t>
  </si>
  <si>
    <t xml:space="preserve">Delivers fluid to/from jacket</t>
  </si>
  <si>
    <t xml:space="preserve">Make (piping) / Buy (insulation)</t>
  </si>
  <si>
    <t xml:space="preserve">Insulated per ambient-loss and safety practice</t>
  </si>
  <si>
    <t xml:space="preserve">07, 08</t>
  </si>
  <si>
    <t xml:space="preserve">4. Refrigeration System</t>
  </si>
  <si>
    <t xml:space="preserve">Compressor(s) - cascade low &amp; high stage</t>
  </si>
  <si>
    <t xml:space="preserve">Refrigeration duty for TCU (and condenser if shared plant)</t>
  </si>
  <si>
    <t xml:space="preserve">Cascade refrigeration, e.g. ethane/R404A/ammonia low stage</t>
  </si>
  <si>
    <t xml:space="preserve">06, 09</t>
  </si>
  <si>
    <t xml:space="preserve">Refrigerant charge</t>
  </si>
  <si>
    <t xml:space="preserve">Working fluid for refrigeration circuit</t>
  </si>
  <si>
    <t xml:space="preserve">Buy (licensed handling)</t>
  </si>
  <si>
    <t xml:space="preserve">Selection per GWP/flammability/toxicity tradeoffs</t>
  </si>
  <si>
    <t xml:space="preserve">Refrigeration-side heat exchangers (condensers/evaporators)</t>
  </si>
  <si>
    <t xml:space="preserve">Refrigerant-to-fluid heat exchange</t>
  </si>
  <si>
    <t xml:space="preserve">Standard refrigeration equipment</t>
  </si>
  <si>
    <t xml:space="preserve">Refrigerant piping, receivers, safety devices</t>
  </si>
  <si>
    <t xml:space="preserve">Refrigerant containment and relief</t>
  </si>
  <si>
    <t xml:space="preserve">Contract (licensed refrigeration technician)</t>
  </si>
  <si>
    <t xml:space="preserve">ASHRAE 15 / IIAR / local refrigeration code</t>
  </si>
  <si>
    <t xml:space="preserve">09</t>
  </si>
  <si>
    <t xml:space="preserve">Oxygen-deficiency monitor</t>
  </si>
  <si>
    <t xml:space="preserve">Required if LN2/dry ice used for direct freezing</t>
  </si>
  <si>
    <t xml:space="preserve">Confined-space cryogen safety practice</t>
  </si>
  <si>
    <t xml:space="preserve">5. Vacuum System</t>
  </si>
  <si>
    <t xml:space="preserve">Dry screw pump / Roots blower train (2+ stage)</t>
  </si>
  <si>
    <t xml:space="preserve">Primary vacuum generation, oil-free</t>
  </si>
  <si>
    <t xml:space="preserve">Per NL1022668C2: 2+ stage system suited to ~50 L charge</t>
  </si>
  <si>
    <t xml:space="preserve">06, 10, 11</t>
  </si>
  <si>
    <t xml:space="preserve">Backing pump</t>
  </si>
  <si>
    <t xml:space="preserve">Final stage of pump train</t>
  </si>
  <si>
    <t xml:space="preserve">Matched to primary pump</t>
  </si>
  <si>
    <t xml:space="preserve">Pirani gauge (chamber + condenser, x2)</t>
  </si>
  <si>
    <t xml:space="preserve">Thermal-conductivity pressure gauge; end-of-drying detection</t>
  </si>
  <si>
    <t xml:space="preserve">Comparative pressure measurement practice (AAPS PharmSciTech 2017)</t>
  </si>
  <si>
    <t xml:space="preserve">06, 08</t>
  </si>
  <si>
    <t xml:space="preserve">Capacitance manometer (chamber + condenser, x2)</t>
  </si>
  <si>
    <t xml:space="preserve">True absolute pressure; primary control signal</t>
  </si>
  <si>
    <t xml:space="preserve">Same as above</t>
  </si>
  <si>
    <t xml:space="preserve">Vacuum isolation valve, vessel-to-collector (open/closed/throttle)</t>
  </si>
  <si>
    <t xml:space="preserve">Controls vapor path per NL2026893B1 recirculation strategy</t>
  </si>
  <si>
    <t xml:space="preserve">Bellows/diaphragm-sealed vacuum valve</t>
  </si>
  <si>
    <t xml:space="preserve">Bypass valve &amp; piping around isolation valve</t>
  </si>
  <si>
    <t xml:space="preserve">Routes dust-laden vapor to filter once valve closed</t>
  </si>
  <si>
    <t xml:space="preserve">Buy/Make</t>
  </si>
  <si>
    <t xml:space="preserve">Per NL2026893B1</t>
  </si>
  <si>
    <t xml:space="preserve">Vent/break valve + sterile air or N2 filter</t>
  </si>
  <si>
    <t xml:space="preserve">Controlled return to atmosphere</t>
  </si>
  <si>
    <t xml:space="preserve">Aseptic vacuum-break practice</t>
  </si>
  <si>
    <t xml:space="preserve">Vacuum piping (short runs, large diameter)</t>
  </si>
  <si>
    <t xml:space="preserve">Connects vessel, collector, condenser, pump</t>
  </si>
  <si>
    <t xml:space="preserve">Make/Buy</t>
  </si>
  <si>
    <t xml:space="preserve">Standard vacuum-engineering conductance practice</t>
  </si>
  <si>
    <t xml:space="preserve">08</t>
  </si>
  <si>
    <t xml:space="preserve">6. Material Collector / Dust Filter</t>
  </si>
  <si>
    <t xml:space="preserve">Filter housing</t>
  </si>
  <si>
    <t xml:space="preserve">External vacuum-line housing per NL2026893B1</t>
  </si>
  <si>
    <t xml:space="preserve">Per NL2026893B1 geometry description</t>
  </si>
  <si>
    <t xml:space="preserve">Filter screen / cartridge element</t>
  </si>
  <si>
    <t xml:space="preserve">Traps dry product dust from vapor stream</t>
  </si>
  <si>
    <t xml:space="preserve">Mesh size selected per product particle size</t>
  </si>
  <si>
    <t xml:space="preserve">Filter blowback / purge valve + gas supply</t>
  </si>
  <si>
    <t xml:space="preserve">Dislodges caked powder from filter screen</t>
  </si>
  <si>
    <t xml:space="preserve">Heated collection hopper / recipient, double-jacketed</t>
  </si>
  <si>
    <t xml:space="preserve">Post-collection secondary drying of collected powder</t>
  </si>
  <si>
    <t xml:space="preserve">Filter differential-pressure transmitter</t>
  </si>
  <si>
    <t xml:space="preserve">Detects filter loading / triggers blowback</t>
  </si>
  <si>
    <t xml:space="preserve">Standard filter-monitoring instrumentation</t>
  </si>
  <si>
    <t xml:space="preserve">7. Bottom Discharge Valve</t>
  </si>
  <si>
    <t xml:space="preserve">Ball-segment discharge valve</t>
  </si>
  <si>
    <t xml:space="preserve">Full-emptying bottom discharge</t>
  </si>
  <si>
    <t xml:space="preserve">Hosokawa ISEM-type or equivalent sanitary valve (GEMU, ITT Pure-Flo, Bardiani, etc.)</t>
  </si>
  <si>
    <t xml:space="preserve">Pneumatic valve actuator</t>
  </si>
  <si>
    <t xml:space="preserve">Automated open/close of discharge valve</t>
  </si>
  <si>
    <t xml:space="preserve">Standard sanitary valve actuator</t>
  </si>
  <si>
    <t xml:space="preserve">Product collection canister</t>
  </si>
  <si>
    <t xml:space="preserve">Receives discharged dry powder</t>
  </si>
  <si>
    <t xml:space="preserve">Per AFD architecture</t>
  </si>
  <si>
    <t xml:space="preserve">04</t>
  </si>
  <si>
    <t xml:space="preserve">8. CIP System</t>
  </si>
  <si>
    <t xml:space="preserve">CIP skid (pump, chemical dosing, heater)</t>
  </si>
  <si>
    <t xml:space="preserve">Automated wash-cycle utility supply</t>
  </si>
  <si>
    <t xml:space="preserve">EHEDG-consistent CIP design practice</t>
  </si>
  <si>
    <t xml:space="preserve">07, 10</t>
  </si>
  <si>
    <t xml:space="preserve">Rotational spray nozzle(s) in vessel</t>
  </si>
  <si>
    <t xml:space="preserve">Cleans internal vessel/lid surfaces</t>
  </si>
  <si>
    <t xml:space="preserve">Per NL1022668C2 'rotational washing nozzle'</t>
  </si>
  <si>
    <t xml:space="preserve">CIP supply/return piping</t>
  </si>
  <si>
    <t xml:space="preserve">Connects CIP skid to vessel</t>
  </si>
  <si>
    <t xml:space="preserve">BPE sanitary tube practice</t>
  </si>
  <si>
    <t xml:space="preserve">07</t>
  </si>
  <si>
    <t xml:space="preserve">9. SIP System (optional)</t>
  </si>
  <si>
    <t xml:space="preserve">Clean steam generator or plant clean-steam interface</t>
  </si>
  <si>
    <t xml:space="preserve">Supplies &gt;121C saturated steam for sterilization</t>
  </si>
  <si>
    <t xml:space="preserve">Per Hosokawa CIP/SIP technology page</t>
  </si>
  <si>
    <t xml:space="preserve">Steam distribution piping &amp; traps</t>
  </si>
  <si>
    <t xml:space="preserve">Delivers steam through vessel/jacket/lines</t>
  </si>
  <si>
    <t xml:space="preserve">Standard clean-steam distribution practice</t>
  </si>
  <si>
    <t xml:space="preserve">SIP-rated RTDs (multiple distribution points)</t>
  </si>
  <si>
    <t xml:space="preserve">Heat-distribution/penetration validation</t>
  </si>
  <si>
    <t xml:space="preserve">SIP validation requirement</t>
  </si>
  <si>
    <t xml:space="preserve">08, 14</t>
  </si>
  <si>
    <t xml:space="preserve">10. Seals, Gaskets &amp; Insulation</t>
  </si>
  <si>
    <t xml:space="preserve">Lid/door gasket</t>
  </si>
  <si>
    <t xml:space="preserve">Vacuum + (optional) SIP-rated seal</t>
  </si>
  <si>
    <t xml:space="preserve">EPDM (steam-resistant) or PTFE-faced silicone</t>
  </si>
  <si>
    <t xml:space="preserve">Port/nozzle seals (sight glass, vent, spray nozzle, etc.)</t>
  </si>
  <si>
    <t xml:space="preserve">Independent leak points at every lid penetration</t>
  </si>
  <si>
    <t xml:space="preserve">Per port-specific manufacturer rating</t>
  </si>
  <si>
    <t xml:space="preserve">Valve stem seals (bellows/diaphragm type)</t>
  </si>
  <si>
    <t xml:space="preserve">Vacuum-integrity on all vacuum-side valves</t>
  </si>
  <si>
    <t xml:space="preserve">Vacuum-engineering best practice</t>
  </si>
  <si>
    <t xml:space="preserve">06, 07</t>
  </si>
  <si>
    <t xml:space="preserve">Closed-cell foam / mineral wool insulation</t>
  </si>
  <si>
    <t xml:space="preserve">Thermal insulation of vessel/jacket/piping</t>
  </si>
  <si>
    <t xml:space="preserve">Standard industrial insulation practice</t>
  </si>
  <si>
    <t xml:space="preserve">Removable stainless cladding</t>
  </si>
  <si>
    <t xml:space="preserve">Weatherproof, cleanable, inspectable insulation cover</t>
  </si>
  <si>
    <t xml:space="preserve">Standard sanitary-plant cladding practice</t>
  </si>
  <si>
    <t xml:space="preserve">11. Instrumentation (general)</t>
  </si>
  <si>
    <t xml:space="preserve">Jacket RTDs, supply &amp; return (PT100)</t>
  </si>
  <si>
    <t xml:space="preserve">TCU control loop feedback</t>
  </si>
  <si>
    <t xml:space="preserve">Standard process instrumentation</t>
  </si>
  <si>
    <t xml:space="preserve">Product temperature probe(s)</t>
  </si>
  <si>
    <t xml:space="preserve">In-process product temperature monitoring</t>
  </si>
  <si>
    <t xml:space="preserve">Placement is a design/prototyping problem, not off-the-shelf</t>
  </si>
  <si>
    <t xml:space="preserve">Level / fill sensor (or sight glass for prototype)</t>
  </si>
  <si>
    <t xml:space="preserve">Batch fill monitoring</t>
  </si>
  <si>
    <t xml:space="preserve">Capacitance or load-cell based for automation</t>
  </si>
  <si>
    <t xml:space="preserve">12. Valves &amp; Piping (general)</t>
  </si>
  <si>
    <t xml:space="preserve">Sanitary diaphragm valves (CIP/utility isolation)</t>
  </si>
  <si>
    <t xml:space="preserve">Cleanable process/utility isolation</t>
  </si>
  <si>
    <t xml:space="preserve">Standard sanitary diaphragm valve practice</t>
  </si>
  <si>
    <t xml:space="preserve">BPE-grade sanitary tube &amp; fittings</t>
  </si>
  <si>
    <t xml:space="preserve">Product-contact and CIP/SIP piping</t>
  </si>
  <si>
    <t xml:space="preserve">ASME BPE tube/fitting standard</t>
  </si>
  <si>
    <t xml:space="preserve">Orbital welding (equipment or contracted service)</t>
  </si>
  <si>
    <t xml:space="preserve">Crevice-free sanitary tube joining</t>
  </si>
  <si>
    <t xml:space="preserve">Contract or Buy (equipment) if investing in-house</t>
  </si>
  <si>
    <t xml:space="preserve">ASME BPE joining practice</t>
  </si>
  <si>
    <t xml:space="preserve">08, 10</t>
  </si>
  <si>
    <t xml:space="preserve">13. Control System (PLC/HMI/SCADA)</t>
  </si>
  <si>
    <t xml:space="preserve">PLC</t>
  </si>
  <si>
    <t xml:space="preserve">Recipe sequencing, interlocks, I/O</t>
  </si>
  <si>
    <t xml:space="preserve">e.g., Siemens S7-1200/1500 or Allen-Bradley CompactLogix class</t>
  </si>
  <si>
    <t xml:space="preserve">HMI panel</t>
  </si>
  <si>
    <t xml:space="preserve">Operator interface, trending, alarms</t>
  </si>
  <si>
    <t xml:space="preserve">Standard industrial HMI</t>
  </si>
  <si>
    <t xml:space="preserve">Data historian / batch-record software</t>
  </si>
  <si>
    <t xml:space="preserve">Continuous batch data logging</t>
  </si>
  <si>
    <t xml:space="preserve">21 CFR Part 11 considerations if pursuing GMP path</t>
  </si>
  <si>
    <t xml:space="preserve">I/O modules, panel wiring, enclosure</t>
  </si>
  <si>
    <t xml:space="preserve">Physical control panel build</t>
  </si>
  <si>
    <t xml:space="preserve">Buy (components) / Make (assembly)</t>
  </si>
  <si>
    <t xml:space="preserve">Standard industrial panel-building practice</t>
  </si>
  <si>
    <t xml:space="preserve">14. Electrical System</t>
  </si>
  <si>
    <t xml:space="preserve">Motor VFDs</t>
  </si>
  <si>
    <t xml:space="preserve">Variable-speed drive for agitator/pumps</t>
  </si>
  <si>
    <t xml:space="preserve">Standard industrial VFD</t>
  </si>
  <si>
    <t xml:space="preserve">Control power supplies (24VDC)</t>
  </si>
  <si>
    <t xml:space="preserve">Logic-level power distribution</t>
  </si>
  <si>
    <t xml:space="preserve">Standard panel-building practice</t>
  </si>
  <si>
    <t xml:space="preserve">ATEX-rated motors/junction boxes/lighting (dust zone)</t>
  </si>
  <si>
    <t xml:space="preserve">Ignition-source control in powder-handling zone</t>
  </si>
  <si>
    <t xml:space="preserve">ATEX Zone 20/21/22 equipment category per Dust Hazard Analysis</t>
  </si>
  <si>
    <t xml:space="preserve">08, 09</t>
  </si>
  <si>
    <t xml:space="preserve">E-stop circuit hardware (hardwired, PLC-independent)</t>
  </si>
  <si>
    <t xml:space="preserve">Safety-critical emergency stop</t>
  </si>
  <si>
    <t xml:space="preserve">Standard machine-safety practice</t>
  </si>
  <si>
    <t xml:space="preserve">Main disconnect &amp; panel protection</t>
  </si>
  <si>
    <t xml:space="preserve">Electrical safety isolation</t>
  </si>
  <si>
    <t xml:space="preserve">Standard electrical code practice</t>
  </si>
  <si>
    <t xml:space="preserve">15. Structural Frame</t>
  </si>
  <si>
    <t xml:space="preserve">Skid/frame (structural steel)</t>
  </si>
  <si>
    <t xml:space="preserve">Supports vessel, drive, and services</t>
  </si>
  <si>
    <t xml:space="preserve">Standard structural fabrication practice</t>
  </si>
  <si>
    <t xml:space="preserve">Access platform / steps (if vessel tall)</t>
  </si>
  <si>
    <t xml:space="preserve">Safe operator access to top fittings</t>
  </si>
  <si>
    <t xml:space="preserve">Standard industrial access practice</t>
  </si>
  <si>
    <t xml:space="preserve">Vibration isolation mounts</t>
  </si>
  <si>
    <t xml:space="preserve">Isolates rotating equipment vibration from vessel/frame</t>
  </si>
  <si>
    <t xml:space="preserve">Protects agitator wall-clearance tolerance and instrument readings</t>
  </si>
  <si>
    <t xml:space="preserve">16. Utility Management Skid / Interface</t>
  </si>
  <si>
    <t xml:space="preserve">Utility junction panel/manifold</t>
  </si>
  <si>
    <t xml:space="preserve">Single documented interface to building services</t>
  </si>
  <si>
    <t xml:space="preserve">Per Hosokawa's named 'Utility Management Skid' concept</t>
  </si>
  <si>
    <t xml:space="preserve">Compressed air/N2 supply connection &amp; filtration</t>
  </si>
  <si>
    <t xml:space="preserve">Instrument air, blow-nozzle gas, vacuum-break gas</t>
  </si>
  <si>
    <t xml:space="preserve">Standard plant-utility practice</t>
  </si>
  <si>
    <t xml:space="preserve">Process/purified water connection</t>
  </si>
  <si>
    <t xml:space="preserve">CIP rinse water supply</t>
  </si>
  <si>
    <t xml:space="preserve">Drain connection</t>
  </si>
  <si>
    <t xml:space="preserve">CIP/SIP effluent and condensate removal</t>
  </si>
  <si>
    <t xml:space="preserve">17. Safety Systems</t>
  </si>
  <si>
    <t xml:space="preserve">Vacuum relief/vent path (manual + interlocked)</t>
  </si>
  <si>
    <t xml:space="preserve">Safe return to atmosphere before any access</t>
  </si>
  <si>
    <t xml:space="preserve">Mandatory before opening any vacuum vessel</t>
  </si>
  <si>
    <t xml:space="preserve">Lid/access interlock switch</t>
  </si>
  <si>
    <t xml:space="preserve">Prevents opening under vacuum</t>
  </si>
  <si>
    <t xml:space="preserve">Standard machine-safety interlock practice</t>
  </si>
  <si>
    <t xml:space="preserve">Dust Hazard Analysis (DHA) - professional service</t>
  </si>
  <si>
    <t xml:space="preserve">Documented combustible-dust risk assessment (not a physical part)</t>
  </si>
  <si>
    <t xml:space="preserve">Contract (qualified process-safety engineer)</t>
  </si>
  <si>
    <t xml:space="preserve">NFPA 652 / ATEX DSEAR requirement</t>
  </si>
  <si>
    <t xml:space="preserve">Explosion venting or suppression hardware (per DHA outcome)</t>
  </si>
  <si>
    <t xml:space="preserve">Physical explosion protection at material collector/discharge zone</t>
  </si>
  <si>
    <t xml:space="preserve">Buy (specialist)</t>
  </si>
  <si>
    <t xml:space="preserve">NFPA 68/69 or equivalent, sized per product Kst/Pmax</t>
  </si>
  <si>
    <t xml:space="preserve">Combustible-gas / O2-deficiency monitors</t>
  </si>
  <si>
    <t xml:space="preserve">Refrigerant leak / cryogen asphyxiation detection</t>
  </si>
  <si>
    <t xml:space="preserve">Standard refrigeration/cryogen safety practice</t>
  </si>
  <si>
    <t xml:space="preserve">Legend:</t>
  </si>
  <si>
    <t xml:space="preserve">Yellow cells = fill in for your own build (Qty, Unit Cost). Left blank intentionally; no prices or quantities are invented in this package.</t>
  </si>
  <si>
    <t xml:space="preserve">'Package Reference' = the numbered file in this documentation set that explains the rationale/citation for that line.</t>
  </si>
  <si>
    <t xml:space="preserve">AFD-Style Freeze Dryer — Replica Build BOM Summary</t>
  </si>
  <si>
    <t xml:space="preserve">Item Count</t>
  </si>
  <si>
    <t xml:space="preserve">Make Count</t>
  </si>
  <si>
    <t xml:space="preserve">Buy Count</t>
  </si>
  <si>
    <t xml:space="preserve">Contract/Other Count</t>
  </si>
  <si>
    <t xml:space="preserve">TOTAL</t>
  </si>
  <si>
    <t xml:space="preserve">Estimated Total Build Cost (fill in BOM sheet's Qty/Unit Cost columns first):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</si>
</sst>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5" min="5" style="1" width="26"/>
    <col collapsed="false" customWidth="true" hidden="false" outlineLevel="0" max="6" min="6" style="1" width="4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5.75" hidden="false" customHeight="true" outlineLevel="0" collapsed="false">
      <c r="A2" s="3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/>
      <c r="I2" s="4"/>
      <c r="J2" s="3" t="str">
        <f aca="false">IF(AND(ISNUMBER(H2),ISNUMBER(I2)),H2*I2,"")</f>
        <v/>
      </c>
    </row>
    <row r="3" customFormat="false" ht="15" hidden="false" customHeight="true" outlineLevel="0" collapsed="false">
      <c r="A3" s="3" t="n">
        <v>2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/>
      <c r="I3" s="4"/>
      <c r="J3" s="3" t="str">
        <f aca="false">IF(AND(ISNUMBER(H3),ISNUMBER(I3)),H3*I3,"")</f>
        <v/>
      </c>
    </row>
    <row r="4" customFormat="false" ht="23.25" hidden="false" customHeight="true" outlineLevel="0" collapsed="false">
      <c r="A4" s="3" t="n">
        <v>3</v>
      </c>
      <c r="B4" s="3" t="s">
        <v>10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/>
      <c r="I4" s="4"/>
      <c r="J4" s="3" t="str">
        <f aca="false">IF(AND(ISNUMBER(H4),ISNUMBER(I4)),H4*I4,"")</f>
        <v/>
      </c>
    </row>
    <row r="5" customFormat="false" ht="34.5" hidden="false" customHeight="true" outlineLevel="0" collapsed="false">
      <c r="A5" s="3" t="n">
        <v>4</v>
      </c>
      <c r="B5" s="3" t="s">
        <v>10</v>
      </c>
      <c r="C5" s="3" t="s">
        <v>26</v>
      </c>
      <c r="D5" s="3" t="s">
        <v>27</v>
      </c>
      <c r="E5" s="3" t="s">
        <v>18</v>
      </c>
      <c r="F5" s="3" t="s">
        <v>28</v>
      </c>
      <c r="G5" s="3" t="s">
        <v>20</v>
      </c>
      <c r="H5" s="4"/>
      <c r="I5" s="4"/>
      <c r="J5" s="3" t="str">
        <f aca="false">IF(AND(ISNUMBER(H5),ISNUMBER(I5)),H5*I5,"")</f>
        <v/>
      </c>
    </row>
    <row r="6" customFormat="false" ht="15" hidden="false" customHeight="true" outlineLevel="0" collapsed="false">
      <c r="A6" s="3" t="n">
        <v>5</v>
      </c>
      <c r="B6" s="3" t="s">
        <v>10</v>
      </c>
      <c r="C6" s="3" t="s">
        <v>29</v>
      </c>
      <c r="D6" s="3" t="s">
        <v>30</v>
      </c>
      <c r="E6" s="3" t="s">
        <v>18</v>
      </c>
      <c r="F6" s="3" t="s">
        <v>31</v>
      </c>
      <c r="G6" s="3" t="s">
        <v>32</v>
      </c>
      <c r="H6" s="4"/>
      <c r="I6" s="4"/>
      <c r="J6" s="3" t="str">
        <f aca="false">IF(AND(ISNUMBER(H6),ISNUMBER(I6)),H6*I6,"")</f>
        <v/>
      </c>
    </row>
    <row r="7" customFormat="false" ht="23.25" hidden="false" customHeight="true" outlineLevel="0" collapsed="false">
      <c r="A7" s="3" t="n">
        <v>6</v>
      </c>
      <c r="B7" s="3" t="s">
        <v>33</v>
      </c>
      <c r="C7" s="3" t="s">
        <v>34</v>
      </c>
      <c r="D7" s="3" t="s">
        <v>35</v>
      </c>
      <c r="E7" s="3" t="s">
        <v>18</v>
      </c>
      <c r="F7" s="3" t="s">
        <v>36</v>
      </c>
      <c r="G7" s="3" t="s">
        <v>37</v>
      </c>
      <c r="H7" s="4"/>
      <c r="I7" s="4"/>
      <c r="J7" s="3" t="str">
        <f aca="false">IF(AND(ISNUMBER(H7),ISNUMBER(I7)),H7*I7,"")</f>
        <v/>
      </c>
    </row>
    <row r="8" customFormat="false" ht="23.25" hidden="false" customHeight="true" outlineLevel="0" collapsed="false">
      <c r="A8" s="3" t="n">
        <v>7</v>
      </c>
      <c r="B8" s="3" t="s">
        <v>33</v>
      </c>
      <c r="C8" s="3" t="s">
        <v>38</v>
      </c>
      <c r="D8" s="3" t="s">
        <v>39</v>
      </c>
      <c r="E8" s="3" t="s">
        <v>23</v>
      </c>
      <c r="F8" s="3" t="s">
        <v>40</v>
      </c>
      <c r="G8" s="3" t="s">
        <v>37</v>
      </c>
      <c r="H8" s="4"/>
      <c r="I8" s="4"/>
      <c r="J8" s="3" t="str">
        <f aca="false">IF(AND(ISNUMBER(H8),ISNUMBER(I8)),H8*I8,"")</f>
        <v/>
      </c>
    </row>
    <row r="9" customFormat="false" ht="23.25" hidden="false" customHeight="true" outlineLevel="0" collapsed="false">
      <c r="A9" s="3" t="n">
        <v>8</v>
      </c>
      <c r="B9" s="3" t="s">
        <v>33</v>
      </c>
      <c r="C9" s="3" t="s">
        <v>41</v>
      </c>
      <c r="D9" s="3" t="s">
        <v>42</v>
      </c>
      <c r="E9" s="3" t="s">
        <v>23</v>
      </c>
      <c r="F9" s="3" t="s">
        <v>43</v>
      </c>
      <c r="G9" s="3" t="s">
        <v>37</v>
      </c>
      <c r="H9" s="4"/>
      <c r="I9" s="4"/>
      <c r="J9" s="3" t="str">
        <f aca="false">IF(AND(ISNUMBER(H9),ISNUMBER(I9)),H9*I9,"")</f>
        <v/>
      </c>
    </row>
    <row r="10" customFormat="false" ht="15" hidden="false" customHeight="true" outlineLevel="0" collapsed="false">
      <c r="A10" s="3" t="n">
        <v>9</v>
      </c>
      <c r="B10" s="3" t="s">
        <v>33</v>
      </c>
      <c r="C10" s="3" t="s">
        <v>44</v>
      </c>
      <c r="D10" s="3" t="s">
        <v>45</v>
      </c>
      <c r="E10" s="3" t="s">
        <v>23</v>
      </c>
      <c r="F10" s="3" t="s">
        <v>46</v>
      </c>
      <c r="G10" s="3" t="s">
        <v>47</v>
      </c>
      <c r="H10" s="4"/>
      <c r="I10" s="4"/>
      <c r="J10" s="3" t="str">
        <f aca="false">IF(AND(ISNUMBER(H10),ISNUMBER(I10)),H10*I10,"")</f>
        <v/>
      </c>
    </row>
    <row r="11" customFormat="false" ht="15" hidden="false" customHeight="true" outlineLevel="0" collapsed="false">
      <c r="A11" s="3" t="n">
        <v>10</v>
      </c>
      <c r="B11" s="3" t="s">
        <v>33</v>
      </c>
      <c r="C11" s="3" t="s">
        <v>48</v>
      </c>
      <c r="D11" s="3" t="s">
        <v>49</v>
      </c>
      <c r="E11" s="3" t="s">
        <v>18</v>
      </c>
      <c r="F11" s="3" t="s">
        <v>50</v>
      </c>
      <c r="G11" s="3" t="s">
        <v>20</v>
      </c>
      <c r="H11" s="4"/>
      <c r="I11" s="4"/>
      <c r="J11" s="3" t="str">
        <f aca="false">IF(AND(ISNUMBER(H11),ISNUMBER(I11)),H11*I11,"")</f>
        <v/>
      </c>
    </row>
    <row r="12" customFormat="false" ht="15" hidden="false" customHeight="true" outlineLevel="0" collapsed="false">
      <c r="A12" s="3" t="n">
        <v>11</v>
      </c>
      <c r="B12" s="3" t="s">
        <v>33</v>
      </c>
      <c r="C12" s="3" t="s">
        <v>51</v>
      </c>
      <c r="D12" s="3" t="s">
        <v>52</v>
      </c>
      <c r="E12" s="3" t="s">
        <v>23</v>
      </c>
      <c r="F12" s="3" t="s">
        <v>53</v>
      </c>
      <c r="G12" s="3" t="s">
        <v>54</v>
      </c>
      <c r="H12" s="4"/>
      <c r="I12" s="4"/>
      <c r="J12" s="3" t="str">
        <f aca="false">IF(AND(ISNUMBER(H12),ISNUMBER(I12)),H12*I12,"")</f>
        <v/>
      </c>
    </row>
    <row r="13" customFormat="false" ht="23.25" hidden="false" customHeight="true" outlineLevel="0" collapsed="false">
      <c r="A13" s="3" t="n">
        <v>12</v>
      </c>
      <c r="B13" s="3" t="s">
        <v>33</v>
      </c>
      <c r="C13" s="3" t="s">
        <v>55</v>
      </c>
      <c r="D13" s="3" t="s">
        <v>56</v>
      </c>
      <c r="E13" s="3" t="s">
        <v>23</v>
      </c>
      <c r="F13" s="3" t="s">
        <v>57</v>
      </c>
      <c r="G13" s="3" t="s">
        <v>58</v>
      </c>
      <c r="H13" s="4"/>
      <c r="I13" s="4"/>
      <c r="J13" s="3" t="str">
        <f aca="false">IF(AND(ISNUMBER(H13),ISNUMBER(I13)),H13*I13,"")</f>
        <v/>
      </c>
    </row>
    <row r="14" customFormat="false" ht="23.25" hidden="false" customHeight="true" outlineLevel="0" collapsed="false">
      <c r="A14" s="3" t="n">
        <v>13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3" t="s">
        <v>64</v>
      </c>
      <c r="H14" s="4"/>
      <c r="I14" s="4"/>
      <c r="J14" s="3" t="str">
        <f aca="false">IF(AND(ISNUMBER(H13),ISNUMBER(I13)),H13*I13,"")</f>
        <v/>
      </c>
    </row>
    <row r="15" customFormat="false" ht="15" hidden="false" customHeight="true" outlineLevel="0" collapsed="false">
      <c r="A15" s="3" t="n">
        <v>14</v>
      </c>
      <c r="B15" s="3" t="s">
        <v>59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4"/>
      <c r="I15" s="4"/>
      <c r="J15" s="3" t="str">
        <f aca="false">IF(AND(ISNUMBER(H14),ISNUMBER(I14)),H14*I14,"")</f>
        <v/>
      </c>
    </row>
    <row r="16" customFormat="false" ht="15" hidden="false" customHeight="true" outlineLevel="0" collapsed="false">
      <c r="A16" s="3" t="n">
        <v>15</v>
      </c>
      <c r="B16" s="3" t="s">
        <v>59</v>
      </c>
      <c r="C16" s="3" t="s">
        <v>70</v>
      </c>
      <c r="D16" s="3" t="s">
        <v>71</v>
      </c>
      <c r="E16" s="3" t="s">
        <v>23</v>
      </c>
      <c r="F16" s="3" t="s">
        <v>72</v>
      </c>
      <c r="G16" s="3" t="s">
        <v>69</v>
      </c>
      <c r="H16" s="4"/>
      <c r="I16" s="4"/>
      <c r="J16" s="3" t="str">
        <f aca="false">IF(AND(ISNUMBER(H15),ISNUMBER(I15)),H15*I15,"")</f>
        <v/>
      </c>
    </row>
    <row r="17" customFormat="false" ht="23.25" hidden="false" customHeight="true" outlineLevel="0" collapsed="false">
      <c r="A17" s="3" t="n">
        <v>16</v>
      </c>
      <c r="B17" s="3" t="s">
        <v>59</v>
      </c>
      <c r="C17" s="3" t="s">
        <v>73</v>
      </c>
      <c r="D17" s="3" t="s">
        <v>74</v>
      </c>
      <c r="E17" s="3" t="s">
        <v>75</v>
      </c>
      <c r="F17" s="3" t="s">
        <v>76</v>
      </c>
      <c r="G17" s="3" t="s">
        <v>77</v>
      </c>
      <c r="H17" s="4"/>
      <c r="I17" s="4"/>
      <c r="J17" s="3" t="str">
        <f aca="false">IF(AND(ISNUMBER(H16),ISNUMBER(I16)),H16*I16,"")</f>
        <v/>
      </c>
    </row>
    <row r="18" customFormat="false" ht="15" hidden="false" customHeight="true" outlineLevel="0" collapsed="false">
      <c r="A18" s="3" t="n">
        <v>17</v>
      </c>
      <c r="B18" s="3" t="s">
        <v>78</v>
      </c>
      <c r="C18" s="3" t="s">
        <v>79</v>
      </c>
      <c r="D18" s="3" t="s">
        <v>80</v>
      </c>
      <c r="E18" s="3" t="s">
        <v>23</v>
      </c>
      <c r="F18" s="3" t="s">
        <v>81</v>
      </c>
      <c r="G18" s="3" t="s">
        <v>82</v>
      </c>
      <c r="H18" s="4"/>
      <c r="I18" s="4"/>
      <c r="J18" s="3" t="str">
        <f aca="false">IF(AND(ISNUMBER(H17),ISNUMBER(I17)),H17*I17,"")</f>
        <v/>
      </c>
    </row>
    <row r="19" customFormat="false" ht="23.25" hidden="false" customHeight="true" outlineLevel="0" collapsed="false">
      <c r="A19" s="3" t="n">
        <v>18</v>
      </c>
      <c r="B19" s="3" t="s">
        <v>78</v>
      </c>
      <c r="C19" s="3" t="s">
        <v>83</v>
      </c>
      <c r="D19" s="3" t="s">
        <v>84</v>
      </c>
      <c r="E19" s="3" t="s">
        <v>85</v>
      </c>
      <c r="F19" s="3" t="s">
        <v>86</v>
      </c>
      <c r="G19" s="3" t="s">
        <v>82</v>
      </c>
      <c r="H19" s="4"/>
      <c r="I19" s="4"/>
      <c r="J19" s="3" t="str">
        <f aca="false">IF(AND(ISNUMBER(H18),ISNUMBER(I18)),H18*I18,"")</f>
        <v/>
      </c>
    </row>
    <row r="20" customFormat="false" ht="23.25" hidden="false" customHeight="true" outlineLevel="0" collapsed="false">
      <c r="A20" s="3" t="n">
        <v>19</v>
      </c>
      <c r="B20" s="3" t="s">
        <v>78</v>
      </c>
      <c r="C20" s="3" t="s">
        <v>87</v>
      </c>
      <c r="D20" s="3" t="s">
        <v>88</v>
      </c>
      <c r="E20" s="3" t="s">
        <v>23</v>
      </c>
      <c r="F20" s="3" t="s">
        <v>89</v>
      </c>
      <c r="G20" s="3" t="s">
        <v>69</v>
      </c>
      <c r="H20" s="4"/>
      <c r="I20" s="4"/>
      <c r="J20" s="3" t="str">
        <f aca="false">IF(AND(ISNUMBER(H19),ISNUMBER(I19)),H19*I19,"")</f>
        <v/>
      </c>
    </row>
    <row r="21" customFormat="false" ht="15" hidden="false" customHeight="true" outlineLevel="0" collapsed="false">
      <c r="A21" s="3" t="n">
        <v>20</v>
      </c>
      <c r="B21" s="3" t="s">
        <v>78</v>
      </c>
      <c r="C21" s="3" t="s">
        <v>90</v>
      </c>
      <c r="D21" s="3" t="s">
        <v>91</v>
      </c>
      <c r="E21" s="3" t="s">
        <v>92</v>
      </c>
      <c r="F21" s="3" t="s">
        <v>93</v>
      </c>
      <c r="G21" s="3" t="s">
        <v>94</v>
      </c>
      <c r="H21" s="4"/>
      <c r="I21" s="4"/>
      <c r="J21" s="3" t="str">
        <f aca="false">IF(AND(ISNUMBER(H20),ISNUMBER(I20)),H20*I20,"")</f>
        <v/>
      </c>
    </row>
    <row r="22" customFormat="false" ht="23.25" hidden="false" customHeight="true" outlineLevel="0" collapsed="false">
      <c r="A22" s="3" t="n">
        <v>21</v>
      </c>
      <c r="B22" s="3" t="s">
        <v>78</v>
      </c>
      <c r="C22" s="3" t="s">
        <v>95</v>
      </c>
      <c r="D22" s="3" t="s">
        <v>96</v>
      </c>
      <c r="E22" s="3" t="s">
        <v>23</v>
      </c>
      <c r="F22" s="3" t="s">
        <v>97</v>
      </c>
      <c r="G22" s="3" t="s">
        <v>94</v>
      </c>
      <c r="H22" s="4"/>
      <c r="I22" s="4"/>
      <c r="J22" s="3" t="str">
        <f aca="false">IF(AND(ISNUMBER(H21),ISNUMBER(I21)),H21*I21,"")</f>
        <v/>
      </c>
    </row>
    <row r="23" customFormat="false" ht="15" hidden="false" customHeight="true" outlineLevel="0" collapsed="false">
      <c r="A23" s="3" t="n">
        <v>22</v>
      </c>
      <c r="B23" s="3" t="s">
        <v>98</v>
      </c>
      <c r="C23" s="3" t="s">
        <v>99</v>
      </c>
      <c r="D23" s="3" t="s">
        <v>100</v>
      </c>
      <c r="E23" s="3" t="s">
        <v>23</v>
      </c>
      <c r="F23" s="3" t="s">
        <v>101</v>
      </c>
      <c r="G23" s="3" t="s">
        <v>102</v>
      </c>
      <c r="H23" s="4"/>
      <c r="I23" s="4"/>
      <c r="J23" s="3" t="str">
        <f aca="false">IF(AND(ISNUMBER(H22),ISNUMBER(I22)),H22*I22,"")</f>
        <v/>
      </c>
    </row>
    <row r="24" customFormat="false" ht="23.25" hidden="false" customHeight="true" outlineLevel="0" collapsed="false">
      <c r="A24" s="3" t="n">
        <v>23</v>
      </c>
      <c r="B24" s="3" t="s">
        <v>98</v>
      </c>
      <c r="C24" s="3" t="s">
        <v>103</v>
      </c>
      <c r="D24" s="3" t="s">
        <v>104</v>
      </c>
      <c r="E24" s="3" t="s">
        <v>23</v>
      </c>
      <c r="F24" s="3" t="s">
        <v>105</v>
      </c>
      <c r="G24" s="3" t="s">
        <v>69</v>
      </c>
      <c r="H24" s="4"/>
      <c r="I24" s="4"/>
      <c r="J24" s="3" t="str">
        <f aca="false">IF(AND(ISNUMBER(H23),ISNUMBER(I23)),H23*I23,"")</f>
        <v/>
      </c>
    </row>
    <row r="25" customFormat="false" ht="23.25" hidden="false" customHeight="true" outlineLevel="0" collapsed="false">
      <c r="A25" s="3" t="n">
        <v>24</v>
      </c>
      <c r="B25" s="3" t="s">
        <v>98</v>
      </c>
      <c r="C25" s="3" t="s">
        <v>106</v>
      </c>
      <c r="D25" s="3" t="s">
        <v>107</v>
      </c>
      <c r="E25" s="3" t="s">
        <v>23</v>
      </c>
      <c r="F25" s="3" t="s">
        <v>108</v>
      </c>
      <c r="G25" s="3" t="s">
        <v>109</v>
      </c>
      <c r="H25" s="4"/>
      <c r="I25" s="4"/>
      <c r="J25" s="3" t="str">
        <f aca="false">IF(AND(ISNUMBER(H24),ISNUMBER(I24)),H24*I24,"")</f>
        <v/>
      </c>
    </row>
    <row r="26" customFormat="false" ht="23.25" hidden="false" customHeight="true" outlineLevel="0" collapsed="false">
      <c r="A26" s="3" t="n">
        <v>25</v>
      </c>
      <c r="B26" s="3" t="s">
        <v>98</v>
      </c>
      <c r="C26" s="3" t="s">
        <v>110</v>
      </c>
      <c r="D26" s="3" t="s">
        <v>111</v>
      </c>
      <c r="E26" s="3" t="s">
        <v>23</v>
      </c>
      <c r="F26" s="3" t="s">
        <v>112</v>
      </c>
      <c r="G26" s="3" t="s">
        <v>109</v>
      </c>
      <c r="H26" s="4"/>
      <c r="I26" s="4"/>
      <c r="J26" s="3" t="str">
        <f aca="false">IF(AND(ISNUMBER(H25),ISNUMBER(I25)),H25*I25,"")</f>
        <v/>
      </c>
    </row>
    <row r="27" customFormat="false" ht="23.25" hidden="false" customHeight="true" outlineLevel="0" collapsed="false">
      <c r="A27" s="3" t="n">
        <v>26</v>
      </c>
      <c r="B27" s="3" t="s">
        <v>98</v>
      </c>
      <c r="C27" s="3" t="s">
        <v>113</v>
      </c>
      <c r="D27" s="3" t="s">
        <v>114</v>
      </c>
      <c r="E27" s="3" t="s">
        <v>23</v>
      </c>
      <c r="F27" s="3" t="s">
        <v>115</v>
      </c>
      <c r="G27" s="3" t="s">
        <v>109</v>
      </c>
      <c r="H27" s="4"/>
      <c r="I27" s="4"/>
      <c r="J27" s="3" t="str">
        <f aca="false">IF(AND(ISNUMBER(H26),ISNUMBER(I26)),H26*I26,"")</f>
        <v/>
      </c>
    </row>
    <row r="28" customFormat="false" ht="15" hidden="false" customHeight="true" outlineLevel="0" collapsed="false">
      <c r="A28" s="3" t="n">
        <v>27</v>
      </c>
      <c r="B28" s="3" t="s">
        <v>98</v>
      </c>
      <c r="C28" s="3" t="s">
        <v>116</v>
      </c>
      <c r="D28" s="3" t="s">
        <v>117</v>
      </c>
      <c r="E28" s="3" t="s">
        <v>118</v>
      </c>
      <c r="F28" s="3" t="s">
        <v>119</v>
      </c>
      <c r="G28" s="3" t="s">
        <v>69</v>
      </c>
      <c r="H28" s="4"/>
      <c r="I28" s="4"/>
      <c r="J28" s="3" t="str">
        <f aca="false">IF(AND(ISNUMBER(H27),ISNUMBER(I27)),H27*I27,"")</f>
        <v/>
      </c>
    </row>
    <row r="29" customFormat="false" ht="23.25" hidden="false" customHeight="true" outlineLevel="0" collapsed="false">
      <c r="A29" s="3" t="n">
        <v>28</v>
      </c>
      <c r="B29" s="3" t="s">
        <v>98</v>
      </c>
      <c r="C29" s="3" t="s">
        <v>120</v>
      </c>
      <c r="D29" s="3" t="s">
        <v>121</v>
      </c>
      <c r="E29" s="3" t="s">
        <v>23</v>
      </c>
      <c r="F29" s="3" t="s">
        <v>122</v>
      </c>
      <c r="G29" s="3" t="s">
        <v>69</v>
      </c>
      <c r="H29" s="4"/>
      <c r="I29" s="4"/>
      <c r="J29" s="3" t="str">
        <f aca="false">IF(AND(ISNUMBER(H28),ISNUMBER(I28)),H28*I28,"")</f>
        <v/>
      </c>
    </row>
    <row r="30" customFormat="false" ht="15" hidden="false" customHeight="true" outlineLevel="0" collapsed="false">
      <c r="A30" s="3" t="n">
        <v>29</v>
      </c>
      <c r="B30" s="3" t="s">
        <v>98</v>
      </c>
      <c r="C30" s="3" t="s">
        <v>123</v>
      </c>
      <c r="D30" s="3" t="s">
        <v>124</v>
      </c>
      <c r="E30" s="3" t="s">
        <v>125</v>
      </c>
      <c r="F30" s="3" t="s">
        <v>126</v>
      </c>
      <c r="G30" s="3" t="s">
        <v>127</v>
      </c>
      <c r="H30" s="4"/>
      <c r="I30" s="4"/>
      <c r="J30" s="3" t="str">
        <f aca="false">IF(AND(ISNUMBER(H29),ISNUMBER(I29)),H29*I29,"")</f>
        <v/>
      </c>
    </row>
    <row r="31" customFormat="false" ht="15" hidden="false" customHeight="true" outlineLevel="0" collapsed="false">
      <c r="A31" s="3" t="n">
        <v>30</v>
      </c>
      <c r="B31" s="3" t="s">
        <v>128</v>
      </c>
      <c r="C31" s="3" t="s">
        <v>129</v>
      </c>
      <c r="D31" s="3" t="s">
        <v>130</v>
      </c>
      <c r="E31" s="3" t="s">
        <v>18</v>
      </c>
      <c r="F31" s="3" t="s">
        <v>131</v>
      </c>
      <c r="G31" s="3" t="s">
        <v>64</v>
      </c>
      <c r="H31" s="4"/>
      <c r="I31" s="4"/>
      <c r="J31" s="3" t="str">
        <f aca="false">IF(AND(ISNUMBER(H30),ISNUMBER(I30)),H30*I30,"")</f>
        <v/>
      </c>
    </row>
    <row r="32" customFormat="false" ht="23.25" hidden="false" customHeight="true" outlineLevel="0" collapsed="false">
      <c r="A32" s="3" t="n">
        <v>31</v>
      </c>
      <c r="B32" s="3" t="s">
        <v>128</v>
      </c>
      <c r="C32" s="3" t="s">
        <v>132</v>
      </c>
      <c r="D32" s="3" t="s">
        <v>133</v>
      </c>
      <c r="E32" s="3" t="s">
        <v>67</v>
      </c>
      <c r="F32" s="3" t="s">
        <v>134</v>
      </c>
      <c r="G32" s="3" t="s">
        <v>64</v>
      </c>
      <c r="H32" s="4"/>
      <c r="I32" s="4"/>
      <c r="J32" s="3" t="str">
        <f aca="false">IF(AND(ISNUMBER(H31),ISNUMBER(I31)),H31*I31,"")</f>
        <v/>
      </c>
    </row>
    <row r="33" customFormat="false" ht="23.25" hidden="false" customHeight="true" outlineLevel="0" collapsed="false">
      <c r="A33" s="3" t="n">
        <v>32</v>
      </c>
      <c r="B33" s="3" t="s">
        <v>128</v>
      </c>
      <c r="C33" s="3" t="s">
        <v>135</v>
      </c>
      <c r="D33" s="3" t="s">
        <v>136</v>
      </c>
      <c r="E33" s="3" t="s">
        <v>23</v>
      </c>
      <c r="F33" s="3" t="s">
        <v>119</v>
      </c>
      <c r="G33" s="3" t="s">
        <v>69</v>
      </c>
      <c r="H33" s="4"/>
      <c r="I33" s="4"/>
      <c r="J33" s="3" t="str">
        <f aca="false">IF(AND(ISNUMBER(H32),ISNUMBER(I32)),H32*I32,"")</f>
        <v/>
      </c>
    </row>
    <row r="34" customFormat="false" ht="15" hidden="false" customHeight="true" outlineLevel="0" collapsed="false">
      <c r="A34" s="3" t="n">
        <v>33</v>
      </c>
      <c r="B34" s="3" t="s">
        <v>128</v>
      </c>
      <c r="C34" s="3" t="s">
        <v>137</v>
      </c>
      <c r="D34" s="3" t="s">
        <v>138</v>
      </c>
      <c r="E34" s="3" t="s">
        <v>18</v>
      </c>
      <c r="F34" s="3" t="s">
        <v>119</v>
      </c>
      <c r="G34" s="3" t="s">
        <v>69</v>
      </c>
      <c r="H34" s="4"/>
      <c r="I34" s="4"/>
      <c r="J34" s="3" t="str">
        <f aca="false">IF(AND(ISNUMBER(H33),ISNUMBER(I33)),H33*I33,"")</f>
        <v/>
      </c>
    </row>
    <row r="35" customFormat="false" ht="23.25" hidden="false" customHeight="true" outlineLevel="0" collapsed="false">
      <c r="A35" s="3" t="n">
        <v>34</v>
      </c>
      <c r="B35" s="3" t="s">
        <v>128</v>
      </c>
      <c r="C35" s="3" t="s">
        <v>139</v>
      </c>
      <c r="D35" s="3" t="s">
        <v>140</v>
      </c>
      <c r="E35" s="3" t="s">
        <v>23</v>
      </c>
      <c r="F35" s="3" t="s">
        <v>141</v>
      </c>
      <c r="G35" s="3" t="s">
        <v>127</v>
      </c>
      <c r="H35" s="4"/>
      <c r="I35" s="4"/>
      <c r="J35" s="3" t="str">
        <f aca="false">IF(AND(ISNUMBER(H34),ISNUMBER(I34)),H34*I34,"")</f>
        <v/>
      </c>
    </row>
    <row r="36" customFormat="false" ht="15" hidden="false" customHeight="true" outlineLevel="0" collapsed="false">
      <c r="A36" s="3" t="n">
        <v>35</v>
      </c>
      <c r="B36" s="3" t="s">
        <v>142</v>
      </c>
      <c r="C36" s="3" t="s">
        <v>143</v>
      </c>
      <c r="D36" s="3" t="s">
        <v>144</v>
      </c>
      <c r="E36" s="3" t="s">
        <v>23</v>
      </c>
      <c r="F36" s="3" t="s">
        <v>145</v>
      </c>
      <c r="G36" s="3" t="s">
        <v>37</v>
      </c>
      <c r="H36" s="4"/>
      <c r="I36" s="4"/>
      <c r="J36" s="3" t="str">
        <f aca="false">IF(AND(ISNUMBER(H35),ISNUMBER(I35)),H35*I35,"")</f>
        <v/>
      </c>
    </row>
    <row r="37" customFormat="false" ht="15" hidden="false" customHeight="true" outlineLevel="0" collapsed="false">
      <c r="A37" s="3" t="n">
        <v>36</v>
      </c>
      <c r="B37" s="3" t="s">
        <v>142</v>
      </c>
      <c r="C37" s="3" t="s">
        <v>146</v>
      </c>
      <c r="D37" s="3" t="s">
        <v>147</v>
      </c>
      <c r="E37" s="3" t="s">
        <v>23</v>
      </c>
      <c r="F37" s="3" t="s">
        <v>148</v>
      </c>
      <c r="G37" s="3" t="s">
        <v>127</v>
      </c>
      <c r="H37" s="4"/>
      <c r="I37" s="4"/>
      <c r="J37" s="3" t="str">
        <f aca="false">IF(AND(ISNUMBER(H36),ISNUMBER(I36)),H36*I36,"")</f>
        <v/>
      </c>
    </row>
    <row r="38" customFormat="false" ht="15" hidden="false" customHeight="true" outlineLevel="0" collapsed="false">
      <c r="A38" s="3" t="n">
        <v>37</v>
      </c>
      <c r="B38" s="3" t="s">
        <v>142</v>
      </c>
      <c r="C38" s="3" t="s">
        <v>149</v>
      </c>
      <c r="D38" s="3" t="s">
        <v>150</v>
      </c>
      <c r="E38" s="3" t="s">
        <v>118</v>
      </c>
      <c r="F38" s="3" t="s">
        <v>151</v>
      </c>
      <c r="G38" s="3" t="s">
        <v>152</v>
      </c>
      <c r="H38" s="4"/>
      <c r="I38" s="4"/>
      <c r="J38" s="3" t="str">
        <f aca="false">IF(AND(ISNUMBER(H37),ISNUMBER(I37)),H37*I37,"")</f>
        <v/>
      </c>
    </row>
    <row r="39" customFormat="false" ht="15" hidden="false" customHeight="true" outlineLevel="0" collapsed="false">
      <c r="A39" s="3" t="n">
        <v>38</v>
      </c>
      <c r="B39" s="3" t="s">
        <v>153</v>
      </c>
      <c r="C39" s="3" t="s">
        <v>154</v>
      </c>
      <c r="D39" s="3" t="s">
        <v>155</v>
      </c>
      <c r="E39" s="3" t="s">
        <v>23</v>
      </c>
      <c r="F39" s="3" t="s">
        <v>156</v>
      </c>
      <c r="G39" s="3" t="s">
        <v>157</v>
      </c>
      <c r="H39" s="4"/>
      <c r="I39" s="4"/>
      <c r="J39" s="3" t="str">
        <f aca="false">IF(AND(ISNUMBER(H38),ISNUMBER(I38)),H38*I38,"")</f>
        <v/>
      </c>
    </row>
    <row r="40" customFormat="false" ht="15" hidden="false" customHeight="true" outlineLevel="0" collapsed="false">
      <c r="A40" s="3" t="n">
        <v>39</v>
      </c>
      <c r="B40" s="3" t="s">
        <v>153</v>
      </c>
      <c r="C40" s="3" t="s">
        <v>158</v>
      </c>
      <c r="D40" s="3" t="s">
        <v>159</v>
      </c>
      <c r="E40" s="3" t="s">
        <v>23</v>
      </c>
      <c r="F40" s="3" t="s">
        <v>160</v>
      </c>
      <c r="G40" s="3" t="s">
        <v>157</v>
      </c>
      <c r="H40" s="4"/>
      <c r="I40" s="4"/>
      <c r="J40" s="3" t="str">
        <f aca="false">IF(AND(ISNUMBER(H39),ISNUMBER(I39)),H39*I39,"")</f>
        <v/>
      </c>
    </row>
    <row r="41" customFormat="false" ht="23.25" hidden="false" customHeight="true" outlineLevel="0" collapsed="false">
      <c r="A41" s="3" t="n">
        <v>40</v>
      </c>
      <c r="B41" s="3" t="s">
        <v>153</v>
      </c>
      <c r="C41" s="3" t="s">
        <v>161</v>
      </c>
      <c r="D41" s="3" t="s">
        <v>162</v>
      </c>
      <c r="E41" s="3" t="s">
        <v>125</v>
      </c>
      <c r="F41" s="3" t="s">
        <v>163</v>
      </c>
      <c r="G41" s="3" t="s">
        <v>164</v>
      </c>
      <c r="H41" s="4"/>
      <c r="I41" s="4"/>
      <c r="J41" s="3" t="str">
        <f aca="false">IF(AND(ISNUMBER(H40),ISNUMBER(I40)),H40*I40,"")</f>
        <v/>
      </c>
    </row>
    <row r="42" customFormat="false" ht="15" hidden="false" customHeight="true" outlineLevel="0" collapsed="false">
      <c r="A42" s="3" t="n">
        <v>41</v>
      </c>
      <c r="B42" s="3" t="s">
        <v>165</v>
      </c>
      <c r="C42" s="3" t="s">
        <v>166</v>
      </c>
      <c r="D42" s="3" t="s">
        <v>167</v>
      </c>
      <c r="E42" s="3" t="s">
        <v>23</v>
      </c>
      <c r="F42" s="3" t="s">
        <v>168</v>
      </c>
      <c r="G42" s="3" t="s">
        <v>164</v>
      </c>
      <c r="H42" s="4"/>
      <c r="I42" s="4"/>
      <c r="J42" s="3" t="str">
        <f aca="false">IF(AND(ISNUMBER(H41),ISNUMBER(I41)),H41*I41,"")</f>
        <v/>
      </c>
    </row>
    <row r="43" customFormat="false" ht="23.25" hidden="false" customHeight="true" outlineLevel="0" collapsed="false">
      <c r="A43" s="3" t="n">
        <v>42</v>
      </c>
      <c r="B43" s="3" t="s">
        <v>165</v>
      </c>
      <c r="C43" s="3" t="s">
        <v>169</v>
      </c>
      <c r="D43" s="3" t="s">
        <v>170</v>
      </c>
      <c r="E43" s="3" t="s">
        <v>23</v>
      </c>
      <c r="F43" s="3" t="s">
        <v>171</v>
      </c>
      <c r="G43" s="3" t="s">
        <v>164</v>
      </c>
      <c r="H43" s="4"/>
      <c r="I43" s="4"/>
      <c r="J43" s="3" t="str">
        <f aca="false">IF(AND(ISNUMBER(H42),ISNUMBER(I42)),H42*I42,"")</f>
        <v/>
      </c>
    </row>
    <row r="44" customFormat="false" ht="15" hidden="false" customHeight="true" outlineLevel="0" collapsed="false">
      <c r="A44" s="3" t="n">
        <v>43</v>
      </c>
      <c r="B44" s="3" t="s">
        <v>165</v>
      </c>
      <c r="C44" s="3" t="s">
        <v>172</v>
      </c>
      <c r="D44" s="3" t="s">
        <v>173</v>
      </c>
      <c r="E44" s="3" t="s">
        <v>23</v>
      </c>
      <c r="F44" s="3" t="s">
        <v>174</v>
      </c>
      <c r="G44" s="3" t="s">
        <v>175</v>
      </c>
      <c r="H44" s="4"/>
      <c r="I44" s="4"/>
      <c r="J44" s="3" t="str">
        <f aca="false">IF(AND(ISNUMBER(H43),ISNUMBER(I43)),H43*I43,"")</f>
        <v/>
      </c>
    </row>
    <row r="45" customFormat="false" ht="23.25" hidden="false" customHeight="true" outlineLevel="0" collapsed="false">
      <c r="A45" s="3" t="n">
        <v>44</v>
      </c>
      <c r="B45" s="3" t="s">
        <v>176</v>
      </c>
      <c r="C45" s="3" t="s">
        <v>177</v>
      </c>
      <c r="D45" s="3" t="s">
        <v>178</v>
      </c>
      <c r="E45" s="3" t="s">
        <v>23</v>
      </c>
      <c r="F45" s="3" t="s">
        <v>179</v>
      </c>
      <c r="G45" s="3" t="s">
        <v>164</v>
      </c>
      <c r="H45" s="4"/>
      <c r="I45" s="4"/>
      <c r="J45" s="3" t="str">
        <f aca="false">IF(AND(ISNUMBER(H44),ISNUMBER(I44)),H44*I44,"")</f>
        <v/>
      </c>
    </row>
    <row r="46" customFormat="false" ht="23.25" hidden="false" customHeight="true" outlineLevel="0" collapsed="false">
      <c r="A46" s="3" t="n">
        <v>45</v>
      </c>
      <c r="B46" s="3" t="s">
        <v>176</v>
      </c>
      <c r="C46" s="3" t="s">
        <v>180</v>
      </c>
      <c r="D46" s="3" t="s">
        <v>181</v>
      </c>
      <c r="E46" s="3" t="s">
        <v>23</v>
      </c>
      <c r="F46" s="3" t="s">
        <v>182</v>
      </c>
      <c r="G46" s="3" t="s">
        <v>164</v>
      </c>
      <c r="H46" s="4"/>
      <c r="I46" s="4"/>
      <c r="J46" s="3" t="str">
        <f aca="false">IF(AND(ISNUMBER(H45),ISNUMBER(I45)),H45*I45,"")</f>
        <v/>
      </c>
    </row>
    <row r="47" customFormat="false" ht="15" hidden="false" customHeight="true" outlineLevel="0" collapsed="false">
      <c r="A47" s="3" t="n">
        <v>46</v>
      </c>
      <c r="B47" s="3" t="s">
        <v>176</v>
      </c>
      <c r="C47" s="3" t="s">
        <v>183</v>
      </c>
      <c r="D47" s="3" t="s">
        <v>184</v>
      </c>
      <c r="E47" s="3" t="s">
        <v>23</v>
      </c>
      <c r="F47" s="3" t="s">
        <v>185</v>
      </c>
      <c r="G47" s="3" t="s">
        <v>186</v>
      </c>
      <c r="H47" s="4"/>
      <c r="I47" s="4"/>
      <c r="J47" s="3" t="str">
        <f aca="false">IF(AND(ISNUMBER(H46),ISNUMBER(I46)),H46*I46,"")</f>
        <v/>
      </c>
    </row>
    <row r="48" customFormat="false" ht="15" hidden="false" customHeight="true" outlineLevel="0" collapsed="false">
      <c r="A48" s="3" t="n">
        <v>47</v>
      </c>
      <c r="B48" s="3" t="s">
        <v>176</v>
      </c>
      <c r="C48" s="3" t="s">
        <v>187</v>
      </c>
      <c r="D48" s="3" t="s">
        <v>188</v>
      </c>
      <c r="E48" s="3" t="s">
        <v>23</v>
      </c>
      <c r="F48" s="3" t="s">
        <v>189</v>
      </c>
      <c r="G48" s="3" t="s">
        <v>164</v>
      </c>
      <c r="H48" s="4"/>
      <c r="I48" s="4"/>
      <c r="J48" s="3" t="str">
        <f aca="false">IF(AND(ISNUMBER(H47),ISNUMBER(I47)),H47*I47,"")</f>
        <v/>
      </c>
    </row>
    <row r="49" customFormat="false" ht="15" hidden="false" customHeight="true" outlineLevel="0" collapsed="false">
      <c r="A49" s="3" t="n">
        <v>48</v>
      </c>
      <c r="B49" s="3" t="s">
        <v>176</v>
      </c>
      <c r="C49" s="3" t="s">
        <v>190</v>
      </c>
      <c r="D49" s="3" t="s">
        <v>191</v>
      </c>
      <c r="E49" s="3" t="s">
        <v>18</v>
      </c>
      <c r="F49" s="3" t="s">
        <v>192</v>
      </c>
      <c r="G49" s="3" t="s">
        <v>164</v>
      </c>
      <c r="H49" s="4"/>
      <c r="I49" s="4"/>
      <c r="J49" s="3" t="str">
        <f aca="false">IF(AND(ISNUMBER(H48),ISNUMBER(I48)),H48*I48,"")</f>
        <v/>
      </c>
    </row>
    <row r="50" customFormat="false" ht="23.25" hidden="false" customHeight="true" outlineLevel="0" collapsed="false">
      <c r="A50" s="3" t="n">
        <v>49</v>
      </c>
      <c r="B50" s="3" t="s">
        <v>193</v>
      </c>
      <c r="C50" s="3" t="s">
        <v>194</v>
      </c>
      <c r="D50" s="3" t="s">
        <v>195</v>
      </c>
      <c r="E50" s="3" t="s">
        <v>23</v>
      </c>
      <c r="F50" s="3" t="s">
        <v>196</v>
      </c>
      <c r="G50" s="3" t="s">
        <v>127</v>
      </c>
      <c r="H50" s="4"/>
      <c r="I50" s="4"/>
      <c r="J50" s="3" t="str">
        <f aca="false">IF(AND(ISNUMBER(H49),ISNUMBER(I49)),H49*I49,"")</f>
        <v/>
      </c>
    </row>
    <row r="51" customFormat="false" ht="23.25" hidden="false" customHeight="true" outlineLevel="0" collapsed="false">
      <c r="A51" s="3" t="n">
        <v>50</v>
      </c>
      <c r="B51" s="3" t="s">
        <v>193</v>
      </c>
      <c r="C51" s="3" t="s">
        <v>197</v>
      </c>
      <c r="D51" s="3" t="s">
        <v>198</v>
      </c>
      <c r="E51" s="3" t="s">
        <v>23</v>
      </c>
      <c r="F51" s="3" t="s">
        <v>199</v>
      </c>
      <c r="G51" s="3" t="s">
        <v>127</v>
      </c>
      <c r="H51" s="4"/>
      <c r="I51" s="4"/>
      <c r="J51" s="3" t="str">
        <f aca="false">IF(AND(ISNUMBER(H50),ISNUMBER(I50)),H50*I50,"")</f>
        <v/>
      </c>
    </row>
    <row r="52" customFormat="false" ht="23.25" hidden="false" customHeight="true" outlineLevel="0" collapsed="false">
      <c r="A52" s="3" t="n">
        <v>51</v>
      </c>
      <c r="B52" s="3" t="s">
        <v>193</v>
      </c>
      <c r="C52" s="3" t="s">
        <v>200</v>
      </c>
      <c r="D52" s="3" t="s">
        <v>201</v>
      </c>
      <c r="E52" s="3" t="s">
        <v>23</v>
      </c>
      <c r="F52" s="3" t="s">
        <v>202</v>
      </c>
      <c r="G52" s="3" t="s">
        <v>127</v>
      </c>
      <c r="H52" s="4"/>
      <c r="I52" s="4"/>
      <c r="J52" s="3" t="str">
        <f aca="false">IF(AND(ISNUMBER(H51),ISNUMBER(I51)),H51*I51,"")</f>
        <v/>
      </c>
    </row>
    <row r="53" customFormat="false" ht="15" hidden="false" customHeight="true" outlineLevel="0" collapsed="false">
      <c r="A53" s="3" t="n">
        <v>52</v>
      </c>
      <c r="B53" s="3" t="s">
        <v>203</v>
      </c>
      <c r="C53" s="3" t="s">
        <v>204</v>
      </c>
      <c r="D53" s="3" t="s">
        <v>205</v>
      </c>
      <c r="E53" s="3" t="s">
        <v>23</v>
      </c>
      <c r="F53" s="3" t="s">
        <v>206</v>
      </c>
      <c r="G53" s="3" t="s">
        <v>127</v>
      </c>
      <c r="H53" s="4"/>
      <c r="I53" s="4"/>
      <c r="J53" s="3" t="str">
        <f aca="false">IF(AND(ISNUMBER(H52),ISNUMBER(I52)),H52*I52,"")</f>
        <v/>
      </c>
    </row>
    <row r="54" customFormat="false" ht="23.25" hidden="false" customHeight="true" outlineLevel="0" collapsed="false">
      <c r="A54" s="3" t="n">
        <v>53</v>
      </c>
      <c r="B54" s="3" t="s">
        <v>203</v>
      </c>
      <c r="C54" s="3" t="s">
        <v>207</v>
      </c>
      <c r="D54" s="3" t="s">
        <v>208</v>
      </c>
      <c r="E54" s="3" t="s">
        <v>23</v>
      </c>
      <c r="F54" s="3" t="s">
        <v>209</v>
      </c>
      <c r="G54" s="3" t="s">
        <v>32</v>
      </c>
      <c r="H54" s="4"/>
      <c r="I54" s="4"/>
      <c r="J54" s="3" t="str">
        <f aca="false">IF(AND(ISNUMBER(H53),ISNUMBER(I53)),H53*I53,"")</f>
        <v/>
      </c>
    </row>
    <row r="55" customFormat="false" ht="23.25" hidden="false" customHeight="true" outlineLevel="0" collapsed="false">
      <c r="A55" s="3" t="n">
        <v>54</v>
      </c>
      <c r="B55" s="3" t="s">
        <v>203</v>
      </c>
      <c r="C55" s="3" t="s">
        <v>210</v>
      </c>
      <c r="D55" s="3" t="s">
        <v>211</v>
      </c>
      <c r="E55" s="3" t="s">
        <v>212</v>
      </c>
      <c r="F55" s="3" t="s">
        <v>213</v>
      </c>
      <c r="G55" s="3" t="s">
        <v>214</v>
      </c>
      <c r="H55" s="4"/>
      <c r="I55" s="4"/>
      <c r="J55" s="3" t="str">
        <f aca="false">IF(AND(ISNUMBER(H54),ISNUMBER(I54)),H54*I54,"")</f>
        <v/>
      </c>
    </row>
    <row r="56" customFormat="false" ht="23.25" hidden="false" customHeight="true" outlineLevel="0" collapsed="false">
      <c r="A56" s="3" t="n">
        <v>55</v>
      </c>
      <c r="B56" s="3" t="s">
        <v>215</v>
      </c>
      <c r="C56" s="3" t="s">
        <v>216</v>
      </c>
      <c r="D56" s="3" t="s">
        <v>217</v>
      </c>
      <c r="E56" s="3" t="s">
        <v>23</v>
      </c>
      <c r="F56" s="3" t="s">
        <v>218</v>
      </c>
      <c r="G56" s="3" t="s">
        <v>127</v>
      </c>
      <c r="H56" s="4"/>
      <c r="I56" s="4"/>
      <c r="J56" s="3" t="str">
        <f aca="false">IF(AND(ISNUMBER(H55),ISNUMBER(I55)),H55*I55,"")</f>
        <v/>
      </c>
    </row>
    <row r="57" customFormat="false" ht="23.25" hidden="false" customHeight="true" outlineLevel="0" collapsed="false">
      <c r="A57" s="3" t="n">
        <v>56</v>
      </c>
      <c r="B57" s="3" t="s">
        <v>215</v>
      </c>
      <c r="C57" s="3" t="s">
        <v>219</v>
      </c>
      <c r="D57" s="3" t="s">
        <v>220</v>
      </c>
      <c r="E57" s="3" t="s">
        <v>23</v>
      </c>
      <c r="F57" s="3" t="s">
        <v>221</v>
      </c>
      <c r="G57" s="3" t="s">
        <v>127</v>
      </c>
      <c r="H57" s="4"/>
      <c r="I57" s="4"/>
      <c r="J57" s="3" t="str">
        <f aca="false">IF(AND(ISNUMBER(H56),ISNUMBER(I56)),H56*I56,"")</f>
        <v/>
      </c>
    </row>
    <row r="58" customFormat="false" ht="23.25" hidden="false" customHeight="true" outlineLevel="0" collapsed="false">
      <c r="A58" s="3" t="n">
        <v>57</v>
      </c>
      <c r="B58" s="3" t="s">
        <v>215</v>
      </c>
      <c r="C58" s="3" t="s">
        <v>222</v>
      </c>
      <c r="D58" s="3" t="s">
        <v>223</v>
      </c>
      <c r="E58" s="3" t="s">
        <v>23</v>
      </c>
      <c r="F58" s="3" t="s">
        <v>224</v>
      </c>
      <c r="G58" s="3" t="s">
        <v>175</v>
      </c>
      <c r="H58" s="4"/>
      <c r="I58" s="4"/>
      <c r="J58" s="3" t="str">
        <f aca="false">IF(AND(ISNUMBER(H57),ISNUMBER(I57)),H57*I57,"")</f>
        <v/>
      </c>
    </row>
    <row r="59" customFormat="false" ht="15" hidden="false" customHeight="true" outlineLevel="0" collapsed="false">
      <c r="A59" s="3" t="n">
        <v>58</v>
      </c>
      <c r="B59" s="3" t="s">
        <v>215</v>
      </c>
      <c r="C59" s="3" t="s">
        <v>225</v>
      </c>
      <c r="D59" s="3" t="s">
        <v>226</v>
      </c>
      <c r="E59" s="3" t="s">
        <v>227</v>
      </c>
      <c r="F59" s="3" t="s">
        <v>228</v>
      </c>
      <c r="G59" s="3" t="s">
        <v>127</v>
      </c>
      <c r="H59" s="4"/>
      <c r="I59" s="4"/>
      <c r="J59" s="3" t="str">
        <f aca="false">IF(AND(ISNUMBER(H58),ISNUMBER(I58)),H58*I58,"")</f>
        <v/>
      </c>
    </row>
    <row r="60" customFormat="false" ht="15" hidden="false" customHeight="true" outlineLevel="0" collapsed="false">
      <c r="A60" s="3" t="n">
        <v>59</v>
      </c>
      <c r="B60" s="3" t="s">
        <v>229</v>
      </c>
      <c r="C60" s="3" t="s">
        <v>230</v>
      </c>
      <c r="D60" s="3" t="s">
        <v>231</v>
      </c>
      <c r="E60" s="3" t="s">
        <v>23</v>
      </c>
      <c r="F60" s="3" t="s">
        <v>232</v>
      </c>
      <c r="G60" s="3" t="s">
        <v>127</v>
      </c>
      <c r="H60" s="4"/>
      <c r="I60" s="4"/>
      <c r="J60" s="3" t="str">
        <f aca="false">IF(AND(ISNUMBER(H59),ISNUMBER(I59)),H59*I59,"")</f>
        <v/>
      </c>
    </row>
    <row r="61" customFormat="false" ht="23.25" hidden="false" customHeight="true" outlineLevel="0" collapsed="false">
      <c r="A61" s="3" t="n">
        <v>60</v>
      </c>
      <c r="B61" s="3" t="s">
        <v>229</v>
      </c>
      <c r="C61" s="3" t="s">
        <v>233</v>
      </c>
      <c r="D61" s="3" t="s">
        <v>234</v>
      </c>
      <c r="E61" s="3" t="s">
        <v>23</v>
      </c>
      <c r="F61" s="3" t="s">
        <v>235</v>
      </c>
      <c r="G61" s="3" t="s">
        <v>127</v>
      </c>
      <c r="H61" s="4"/>
      <c r="I61" s="4"/>
      <c r="J61" s="3" t="str">
        <f aca="false">IF(AND(ISNUMBER(H60),ISNUMBER(I60)),H60*I60,"")</f>
        <v/>
      </c>
    </row>
    <row r="62" customFormat="false" ht="23.25" hidden="false" customHeight="true" outlineLevel="0" collapsed="false">
      <c r="A62" s="3" t="n">
        <v>61</v>
      </c>
      <c r="B62" s="3" t="s">
        <v>229</v>
      </c>
      <c r="C62" s="3" t="s">
        <v>236</v>
      </c>
      <c r="D62" s="3" t="s">
        <v>237</v>
      </c>
      <c r="E62" s="3" t="s">
        <v>23</v>
      </c>
      <c r="F62" s="3" t="s">
        <v>238</v>
      </c>
      <c r="G62" s="3" t="s">
        <v>239</v>
      </c>
      <c r="H62" s="4"/>
      <c r="I62" s="4"/>
      <c r="J62" s="3" t="str">
        <f aca="false">IF(AND(ISNUMBER(H61),ISNUMBER(I61)),H61*I61,"")</f>
        <v/>
      </c>
    </row>
    <row r="63" customFormat="false" ht="15" hidden="false" customHeight="true" outlineLevel="0" collapsed="false">
      <c r="A63" s="3" t="n">
        <v>62</v>
      </c>
      <c r="B63" s="3" t="s">
        <v>229</v>
      </c>
      <c r="C63" s="3" t="s">
        <v>240</v>
      </c>
      <c r="D63" s="3" t="s">
        <v>241</v>
      </c>
      <c r="E63" s="3" t="s">
        <v>23</v>
      </c>
      <c r="F63" s="3" t="s">
        <v>242</v>
      </c>
      <c r="G63" s="3" t="s">
        <v>94</v>
      </c>
      <c r="H63" s="4"/>
      <c r="I63" s="4"/>
      <c r="J63" s="3" t="str">
        <f aca="false">IF(AND(ISNUMBER(H62),ISNUMBER(I62)),H62*I62,"")</f>
        <v/>
      </c>
    </row>
    <row r="64" customFormat="false" ht="15" hidden="false" customHeight="true" outlineLevel="0" collapsed="false">
      <c r="A64" s="3" t="n">
        <v>63</v>
      </c>
      <c r="B64" s="3" t="s">
        <v>229</v>
      </c>
      <c r="C64" s="3" t="s">
        <v>243</v>
      </c>
      <c r="D64" s="3" t="s">
        <v>244</v>
      </c>
      <c r="E64" s="3" t="s">
        <v>23</v>
      </c>
      <c r="F64" s="3" t="s">
        <v>245</v>
      </c>
      <c r="G64" s="3" t="s">
        <v>127</v>
      </c>
      <c r="H64" s="4"/>
      <c r="I64" s="4"/>
      <c r="J64" s="3" t="str">
        <f aca="false">IF(AND(ISNUMBER(H63),ISNUMBER(I63)),H63*I63,"")</f>
        <v/>
      </c>
    </row>
    <row r="65" customFormat="false" ht="15" hidden="false" customHeight="true" outlineLevel="0" collapsed="false">
      <c r="A65" s="3" t="n">
        <v>64</v>
      </c>
      <c r="B65" s="3" t="s">
        <v>246</v>
      </c>
      <c r="C65" s="3" t="s">
        <v>247</v>
      </c>
      <c r="D65" s="3" t="s">
        <v>248</v>
      </c>
      <c r="E65" s="3" t="s">
        <v>18</v>
      </c>
      <c r="F65" s="3" t="s">
        <v>249</v>
      </c>
      <c r="G65" s="3" t="s">
        <v>214</v>
      </c>
      <c r="H65" s="4"/>
      <c r="I65" s="4"/>
      <c r="J65" s="3" t="str">
        <f aca="false">IF(AND(ISNUMBER(H64),ISNUMBER(I64)),H64*I64,"")</f>
        <v/>
      </c>
    </row>
    <row r="66" customFormat="false" ht="23.25" hidden="false" customHeight="true" outlineLevel="0" collapsed="false">
      <c r="A66" s="3" t="n">
        <v>65</v>
      </c>
      <c r="B66" s="3" t="s">
        <v>246</v>
      </c>
      <c r="C66" s="3" t="s">
        <v>250</v>
      </c>
      <c r="D66" s="3" t="s">
        <v>251</v>
      </c>
      <c r="E66" s="3" t="s">
        <v>18</v>
      </c>
      <c r="F66" s="3" t="s">
        <v>252</v>
      </c>
      <c r="G66" s="3" t="s">
        <v>127</v>
      </c>
      <c r="H66" s="4"/>
      <c r="I66" s="4"/>
      <c r="J66" s="3" t="str">
        <f aca="false">IF(AND(ISNUMBER(H65),ISNUMBER(I65)),H65*I65,"")</f>
        <v/>
      </c>
    </row>
    <row r="67" customFormat="false" ht="23.25" hidden="false" customHeight="true" outlineLevel="0" collapsed="false">
      <c r="A67" s="3" t="n">
        <v>66</v>
      </c>
      <c r="B67" s="3" t="s">
        <v>246</v>
      </c>
      <c r="C67" s="3" t="s">
        <v>253</v>
      </c>
      <c r="D67" s="3" t="s">
        <v>254</v>
      </c>
      <c r="E67" s="3" t="s">
        <v>23</v>
      </c>
      <c r="F67" s="3" t="s">
        <v>255</v>
      </c>
      <c r="G67" s="3" t="s">
        <v>127</v>
      </c>
      <c r="H67" s="4"/>
      <c r="I67" s="4"/>
      <c r="J67" s="3" t="str">
        <f aca="false">IF(AND(ISNUMBER(H66),ISNUMBER(I66)),H66*I66,"")</f>
        <v/>
      </c>
    </row>
    <row r="68" customFormat="false" ht="23.25" hidden="false" customHeight="true" outlineLevel="0" collapsed="false">
      <c r="A68" s="3" t="n">
        <v>67</v>
      </c>
      <c r="B68" s="3" t="s">
        <v>256</v>
      </c>
      <c r="C68" s="3" t="s">
        <v>257</v>
      </c>
      <c r="D68" s="3" t="s">
        <v>258</v>
      </c>
      <c r="E68" s="3" t="s">
        <v>18</v>
      </c>
      <c r="F68" s="3" t="s">
        <v>259</v>
      </c>
      <c r="G68" s="3" t="s">
        <v>164</v>
      </c>
      <c r="H68" s="4"/>
      <c r="I68" s="4"/>
      <c r="J68" s="3" t="str">
        <f aca="false">IF(AND(ISNUMBER(H67),ISNUMBER(I67)),H67*I67,"")</f>
        <v/>
      </c>
    </row>
    <row r="69" customFormat="false" ht="23.25" hidden="false" customHeight="true" outlineLevel="0" collapsed="false">
      <c r="A69" s="3" t="n">
        <v>68</v>
      </c>
      <c r="B69" s="3" t="s">
        <v>256</v>
      </c>
      <c r="C69" s="3" t="s">
        <v>260</v>
      </c>
      <c r="D69" s="3" t="s">
        <v>261</v>
      </c>
      <c r="E69" s="3" t="s">
        <v>23</v>
      </c>
      <c r="F69" s="3" t="s">
        <v>262</v>
      </c>
      <c r="G69" s="3" t="s">
        <v>164</v>
      </c>
      <c r="H69" s="4"/>
      <c r="I69" s="4"/>
      <c r="J69" s="3" t="str">
        <f aca="false">IF(AND(ISNUMBER(H68),ISNUMBER(I68)),H68*I68,"")</f>
        <v/>
      </c>
    </row>
    <row r="70" customFormat="false" ht="23.25" hidden="false" customHeight="true" outlineLevel="0" collapsed="false">
      <c r="A70" s="3" t="n">
        <v>69</v>
      </c>
      <c r="B70" s="3" t="s">
        <v>256</v>
      </c>
      <c r="C70" s="3" t="s">
        <v>263</v>
      </c>
      <c r="D70" s="3" t="s">
        <v>264</v>
      </c>
      <c r="E70" s="3" t="s">
        <v>23</v>
      </c>
      <c r="F70" s="3" t="s">
        <v>262</v>
      </c>
      <c r="G70" s="3" t="s">
        <v>164</v>
      </c>
      <c r="H70" s="4"/>
      <c r="I70" s="4"/>
      <c r="J70" s="3" t="str">
        <f aca="false">IF(AND(ISNUMBER(H69),ISNUMBER(I69)),H69*I69,"")</f>
        <v/>
      </c>
    </row>
    <row r="71" customFormat="false" ht="23.25" hidden="false" customHeight="true" outlineLevel="0" collapsed="false">
      <c r="A71" s="3" t="n">
        <v>70</v>
      </c>
      <c r="B71" s="3" t="s">
        <v>256</v>
      </c>
      <c r="C71" s="3" t="s">
        <v>265</v>
      </c>
      <c r="D71" s="3" t="s">
        <v>266</v>
      </c>
      <c r="E71" s="3" t="s">
        <v>18</v>
      </c>
      <c r="F71" s="3" t="s">
        <v>262</v>
      </c>
      <c r="G71" s="3" t="s">
        <v>164</v>
      </c>
      <c r="H71" s="4"/>
      <c r="I71" s="4"/>
      <c r="J71" s="3" t="str">
        <f aca="false">IF(AND(ISNUMBER(H70),ISNUMBER(I70)),H70*I70,"")</f>
        <v/>
      </c>
    </row>
    <row r="72" customFormat="false" ht="15" hidden="false" customHeight="true" outlineLevel="0" collapsed="false">
      <c r="A72" s="3" t="n">
        <v>71</v>
      </c>
      <c r="B72" s="3" t="s">
        <v>267</v>
      </c>
      <c r="C72" s="3" t="s">
        <v>268</v>
      </c>
      <c r="D72" s="3" t="s">
        <v>269</v>
      </c>
      <c r="E72" s="3" t="s">
        <v>125</v>
      </c>
      <c r="F72" s="3" t="s">
        <v>270</v>
      </c>
      <c r="G72" s="3" t="s">
        <v>94</v>
      </c>
      <c r="H72" s="4"/>
      <c r="I72" s="4"/>
      <c r="J72" s="3" t="str">
        <f aca="false">IF(AND(ISNUMBER(H71),ISNUMBER(I71)),H71*I71,"")</f>
        <v/>
      </c>
    </row>
    <row r="73" customFormat="false" ht="23.25" hidden="false" customHeight="true" outlineLevel="0" collapsed="false">
      <c r="A73" s="3" t="n">
        <v>72</v>
      </c>
      <c r="B73" s="3" t="s">
        <v>267</v>
      </c>
      <c r="C73" s="3" t="s">
        <v>271</v>
      </c>
      <c r="D73" s="3" t="s">
        <v>272</v>
      </c>
      <c r="E73" s="3" t="s">
        <v>23</v>
      </c>
      <c r="F73" s="3" t="s">
        <v>273</v>
      </c>
      <c r="G73" s="3" t="s">
        <v>94</v>
      </c>
      <c r="H73" s="4"/>
      <c r="I73" s="4"/>
      <c r="J73" s="3" t="str">
        <f aca="false">IF(AND(ISNUMBER(H72),ISNUMBER(I72)),H72*I72,"")</f>
        <v/>
      </c>
    </row>
    <row r="74" customFormat="false" ht="23.25" hidden="false" customHeight="true" outlineLevel="0" collapsed="false">
      <c r="A74" s="3" t="n">
        <v>73</v>
      </c>
      <c r="B74" s="3" t="s">
        <v>267</v>
      </c>
      <c r="C74" s="3" t="s">
        <v>274</v>
      </c>
      <c r="D74" s="3" t="s">
        <v>275</v>
      </c>
      <c r="E74" s="3" t="s">
        <v>276</v>
      </c>
      <c r="F74" s="3" t="s">
        <v>277</v>
      </c>
      <c r="G74" s="3" t="s">
        <v>94</v>
      </c>
      <c r="H74" s="4"/>
      <c r="I74" s="4"/>
      <c r="J74" s="3" t="str">
        <f aca="false">IF(AND(ISNUMBER(H73),ISNUMBER(I73)),H73*I73,"")</f>
        <v/>
      </c>
    </row>
    <row r="75" customFormat="false" ht="23.25" hidden="false" customHeight="true" outlineLevel="0" collapsed="false">
      <c r="A75" s="3" t="n">
        <v>74</v>
      </c>
      <c r="B75" s="3" t="s">
        <v>267</v>
      </c>
      <c r="C75" s="3" t="s">
        <v>278</v>
      </c>
      <c r="D75" s="3" t="s">
        <v>279</v>
      </c>
      <c r="E75" s="3" t="s">
        <v>280</v>
      </c>
      <c r="F75" s="3" t="s">
        <v>281</v>
      </c>
      <c r="G75" s="3" t="s">
        <v>94</v>
      </c>
      <c r="H75" s="4"/>
      <c r="I75" s="4"/>
      <c r="J75" s="3" t="str">
        <f aca="false">IF(AND(ISNUMBER(H74),ISNUMBER(I74)),H74*I74,"")</f>
        <v/>
      </c>
    </row>
    <row r="76" customFormat="false" ht="23.85" hidden="false" customHeight="false" outlineLevel="0" collapsed="false">
      <c r="A76" s="3" t="n">
        <v>75</v>
      </c>
      <c r="B76" s="3" t="s">
        <v>267</v>
      </c>
      <c r="C76" s="3" t="s">
        <v>282</v>
      </c>
      <c r="D76" s="3" t="s">
        <v>283</v>
      </c>
      <c r="E76" s="3" t="s">
        <v>23</v>
      </c>
      <c r="F76" s="3" t="s">
        <v>284</v>
      </c>
      <c r="G76" s="3" t="s">
        <v>94</v>
      </c>
      <c r="H76" s="4"/>
      <c r="I76" s="4"/>
      <c r="J76" s="3" t="str">
        <f aca="false">IF(AND(ISNUMBER(H75),ISNUMBER(I75)),H75*I75,"")</f>
        <v/>
      </c>
    </row>
    <row r="77" customFormat="false" ht="15" hidden="false" customHeight="true" outlineLevel="0" collapsed="false"/>
    <row r="78" customFormat="false" ht="15" hidden="false" customHeight="true" outlineLevel="0" collapsed="false">
      <c r="A78" s="5" t="s">
        <v>285</v>
      </c>
      <c r="B78" s="5"/>
      <c r="C78" s="5"/>
      <c r="D78" s="5"/>
      <c r="E78" s="5"/>
      <c r="F78" s="5"/>
      <c r="G78" s="5"/>
      <c r="H78" s="5"/>
      <c r="I78" s="5"/>
      <c r="J78" s="5"/>
    </row>
    <row r="79" customFormat="false" ht="15" hidden="false" customHeight="true" outlineLevel="0" collapsed="false">
      <c r="A79" s="6" t="s">
        <v>286</v>
      </c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7" t="s">
        <v>287</v>
      </c>
    </row>
  </sheetData>
  <mergeCells count="2">
    <mergeCell ref="A78:J78"/>
    <mergeCell ref="A79:J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8" t="s">
        <v>288</v>
      </c>
      <c r="B1" s="8"/>
      <c r="C1" s="8"/>
      <c r="D1" s="8"/>
      <c r="E1" s="8"/>
      <c r="F1" s="8"/>
    </row>
    <row r="3" customFormat="false" ht="23.25" hidden="false" customHeight="true" outlineLevel="0" collapsed="false">
      <c r="A3" s="9" t="s">
        <v>0</v>
      </c>
      <c r="B3" s="9" t="s">
        <v>1</v>
      </c>
      <c r="C3" s="9" t="s">
        <v>289</v>
      </c>
      <c r="D3" s="9" t="s">
        <v>290</v>
      </c>
      <c r="E3" s="9" t="s">
        <v>291</v>
      </c>
      <c r="F3" s="9" t="s">
        <v>292</v>
      </c>
    </row>
    <row r="4" customFormat="false" ht="15" hidden="false" customHeight="true" outlineLevel="0" collapsed="false">
      <c r="A4" s="10" t="n">
        <v>1</v>
      </c>
      <c r="B4" s="10" t="s">
        <v>10</v>
      </c>
      <c r="C4" s="10" t="n">
        <f aca="false">COUNTIF(BOM!$B$2:$B$1000,B4)</f>
        <v>5</v>
      </c>
      <c r="D4" s="10" t="n">
        <f aca="false">COUNTIFS(BOM!$B$2:$B$1000,B4,BOM!$E$2:$E$1000,"Make*")</f>
        <v>3</v>
      </c>
      <c r="E4" s="10" t="n">
        <f aca="false">COUNTIFS(BOM!$B$2:$B$1000,B4,BOM!$E$2:$E$1000,"Buy*")</f>
        <v>1</v>
      </c>
      <c r="F4" s="10" t="n">
        <f aca="false">C4-D4-E4</f>
        <v>1</v>
      </c>
    </row>
    <row r="5" customFormat="false" ht="15" hidden="false" customHeight="true" outlineLevel="0" collapsed="false">
      <c r="A5" s="10" t="n">
        <v>2</v>
      </c>
      <c r="B5" s="10" t="s">
        <v>33</v>
      </c>
      <c r="C5" s="10" t="n">
        <f aca="false">COUNTIF(BOM!$B$2:$B$1000,B5)</f>
        <v>7</v>
      </c>
      <c r="D5" s="10" t="n">
        <f aca="false">COUNTIFS(BOM!$B$2:$B$1000,B5,BOM!$E$2:$E$1000,"Make*")</f>
        <v>2</v>
      </c>
      <c r="E5" s="10" t="n">
        <f aca="false">COUNTIFS(BOM!$B$2:$B$1000,B5,BOM!$E$2:$E$1000,"Buy*")</f>
        <v>5</v>
      </c>
      <c r="F5" s="10" t="n">
        <f aca="false">C5-D5-E5</f>
        <v>0</v>
      </c>
    </row>
    <row r="6" customFormat="false" ht="15" hidden="false" customHeight="true" outlineLevel="0" collapsed="false">
      <c r="A6" s="10" t="n">
        <v>3</v>
      </c>
      <c r="B6" s="10" t="s">
        <v>59</v>
      </c>
      <c r="C6" s="10" t="n">
        <f aca="false">COUNTIF(BOM!$B$2:$B$1000,B6)</f>
        <v>4</v>
      </c>
      <c r="D6" s="10" t="n">
        <f aca="false">COUNTIFS(BOM!$B$2:$B$1000,B6,BOM!$E$2:$E$1000,"Make*")</f>
        <v>1</v>
      </c>
      <c r="E6" s="10" t="n">
        <f aca="false">COUNTIFS(BOM!$B$2:$B$1000,B6,BOM!$E$2:$E$1000,"Buy*")</f>
        <v>3</v>
      </c>
      <c r="F6" s="10" t="n">
        <f aca="false">C6-D6-E6</f>
        <v>0</v>
      </c>
    </row>
    <row r="7" customFormat="false" ht="15" hidden="false" customHeight="true" outlineLevel="0" collapsed="false">
      <c r="A7" s="10" t="n">
        <v>4</v>
      </c>
      <c r="B7" s="10" t="s">
        <v>78</v>
      </c>
      <c r="C7" s="10" t="n">
        <f aca="false">COUNTIF(BOM!$B$2:$B$1000,B7)</f>
        <v>5</v>
      </c>
      <c r="D7" s="10" t="n">
        <f aca="false">COUNTIFS(BOM!$B$2:$B$1000,B7,BOM!$E$2:$E$1000,"Make*")</f>
        <v>0</v>
      </c>
      <c r="E7" s="10" t="n">
        <f aca="false">COUNTIFS(BOM!$B$2:$B$1000,B7,BOM!$E$2:$E$1000,"Buy*")</f>
        <v>4</v>
      </c>
      <c r="F7" s="10" t="n">
        <f aca="false">C7-D7-E7</f>
        <v>1</v>
      </c>
    </row>
    <row r="8" customFormat="false" ht="15" hidden="false" customHeight="true" outlineLevel="0" collapsed="false">
      <c r="A8" s="10" t="n">
        <v>5</v>
      </c>
      <c r="B8" s="10" t="s">
        <v>98</v>
      </c>
      <c r="C8" s="10" t="n">
        <f aca="false">COUNTIF(BOM!$B$2:$B$1000,B8)</f>
        <v>8</v>
      </c>
      <c r="D8" s="10" t="n">
        <f aca="false">COUNTIFS(BOM!$B$2:$B$1000,B8,BOM!$E$2:$E$1000,"Make*")</f>
        <v>1</v>
      </c>
      <c r="E8" s="10" t="n">
        <f aca="false">COUNTIFS(BOM!$B$2:$B$1000,B8,BOM!$E$2:$E$1000,"Buy*")</f>
        <v>7</v>
      </c>
      <c r="F8" s="10" t="n">
        <f aca="false">C8-D8-E8</f>
        <v>0</v>
      </c>
    </row>
    <row r="9" customFormat="false" ht="15" hidden="false" customHeight="true" outlineLevel="0" collapsed="false">
      <c r="A9" s="10" t="n">
        <v>6</v>
      </c>
      <c r="B9" s="10" t="s">
        <v>128</v>
      </c>
      <c r="C9" s="10" t="n">
        <f aca="false">COUNTIF(BOM!$B$2:$B$1000,B9)</f>
        <v>5</v>
      </c>
      <c r="D9" s="10" t="n">
        <f aca="false">COUNTIFS(BOM!$B$2:$B$1000,B9,BOM!$E$2:$E$1000,"Make*")</f>
        <v>2</v>
      </c>
      <c r="E9" s="10" t="n">
        <f aca="false">COUNTIFS(BOM!$B$2:$B$1000,B9,BOM!$E$2:$E$1000,"Buy*")</f>
        <v>3</v>
      </c>
      <c r="F9" s="10" t="n">
        <f aca="false">C9-D9-E9</f>
        <v>0</v>
      </c>
    </row>
    <row r="10" customFormat="false" ht="15" hidden="false" customHeight="true" outlineLevel="0" collapsed="false">
      <c r="A10" s="10" t="n">
        <v>7</v>
      </c>
      <c r="B10" s="10" t="s">
        <v>142</v>
      </c>
      <c r="C10" s="10" t="n">
        <f aca="false">COUNTIF(BOM!$B$2:$B$1000,B10)</f>
        <v>3</v>
      </c>
      <c r="D10" s="10" t="n">
        <f aca="false">COUNTIFS(BOM!$B$2:$B$1000,B10,BOM!$E$2:$E$1000,"Make*")</f>
        <v>0</v>
      </c>
      <c r="E10" s="10" t="n">
        <f aca="false">COUNTIFS(BOM!$B$2:$B$1000,B10,BOM!$E$2:$E$1000,"Buy*")</f>
        <v>3</v>
      </c>
      <c r="F10" s="10" t="n">
        <f aca="false">C10-D10-E10</f>
        <v>0</v>
      </c>
    </row>
    <row r="11" customFormat="false" ht="15" hidden="false" customHeight="true" outlineLevel="0" collapsed="false">
      <c r="A11" s="10" t="n">
        <v>8</v>
      </c>
      <c r="B11" s="10" t="s">
        <v>153</v>
      </c>
      <c r="C11" s="10" t="n">
        <f aca="false">COUNTIF(BOM!$B$2:$B$1000,B11)</f>
        <v>3</v>
      </c>
      <c r="D11" s="10" t="n">
        <f aca="false">COUNTIFS(BOM!$B$2:$B$1000,B11,BOM!$E$2:$E$1000,"Make*")</f>
        <v>1</v>
      </c>
      <c r="E11" s="10" t="n">
        <f aca="false">COUNTIFS(BOM!$B$2:$B$1000,B11,BOM!$E$2:$E$1000,"Buy*")</f>
        <v>2</v>
      </c>
      <c r="F11" s="10" t="n">
        <f aca="false">C11-D11-E11</f>
        <v>0</v>
      </c>
    </row>
    <row r="12" customFormat="false" ht="15" hidden="false" customHeight="true" outlineLevel="0" collapsed="false">
      <c r="A12" s="10" t="n">
        <v>9</v>
      </c>
      <c r="B12" s="10" t="s">
        <v>165</v>
      </c>
      <c r="C12" s="10" t="n">
        <f aca="false">COUNTIF(BOM!$B$2:$B$1000,B12)</f>
        <v>3</v>
      </c>
      <c r="D12" s="10" t="n">
        <f aca="false">COUNTIFS(BOM!$B$2:$B$1000,B12,BOM!$E$2:$E$1000,"Make*")</f>
        <v>0</v>
      </c>
      <c r="E12" s="10" t="n">
        <f aca="false">COUNTIFS(BOM!$B$2:$B$1000,B12,BOM!$E$2:$E$1000,"Buy*")</f>
        <v>3</v>
      </c>
      <c r="F12" s="10" t="n">
        <f aca="false">C12-D12-E12</f>
        <v>0</v>
      </c>
    </row>
    <row r="13" customFormat="false" ht="15" hidden="false" customHeight="true" outlineLevel="0" collapsed="false">
      <c r="A13" s="10" t="n">
        <v>10</v>
      </c>
      <c r="B13" s="10" t="s">
        <v>176</v>
      </c>
      <c r="C13" s="10" t="n">
        <f aca="false">COUNTIF(BOM!$B$2:$B$1000,B13)</f>
        <v>5</v>
      </c>
      <c r="D13" s="10" t="n">
        <f aca="false">COUNTIFS(BOM!$B$2:$B$1000,B13,BOM!$E$2:$E$1000,"Make*")</f>
        <v>1</v>
      </c>
      <c r="E13" s="10" t="n">
        <f aca="false">COUNTIFS(BOM!$B$2:$B$1000,B13,BOM!$E$2:$E$1000,"Buy*")</f>
        <v>4</v>
      </c>
      <c r="F13" s="10" t="n">
        <f aca="false">C13-D13-E13</f>
        <v>0</v>
      </c>
    </row>
    <row r="14" customFormat="false" ht="15" hidden="false" customHeight="true" outlineLevel="0" collapsed="false">
      <c r="A14" s="10" t="n">
        <v>11</v>
      </c>
      <c r="B14" s="10" t="s">
        <v>193</v>
      </c>
      <c r="C14" s="10" t="n">
        <f aca="false">COUNTIF(BOM!$B$2:$B$1000,B14)</f>
        <v>3</v>
      </c>
      <c r="D14" s="10" t="n">
        <f aca="false">COUNTIFS(BOM!$B$2:$B$1000,B14,BOM!$E$2:$E$1000,"Make*")</f>
        <v>0</v>
      </c>
      <c r="E14" s="10" t="n">
        <f aca="false">COUNTIFS(BOM!$B$2:$B$1000,B14,BOM!$E$2:$E$1000,"Buy*")</f>
        <v>3</v>
      </c>
      <c r="F14" s="10" t="n">
        <f aca="false">C14-D14-E14</f>
        <v>0</v>
      </c>
    </row>
    <row r="15" customFormat="false" ht="15" hidden="false" customHeight="true" outlineLevel="0" collapsed="false">
      <c r="A15" s="10" t="n">
        <v>12</v>
      </c>
      <c r="B15" s="10" t="s">
        <v>203</v>
      </c>
      <c r="C15" s="10" t="n">
        <f aca="false">COUNTIF(BOM!$B$2:$B$1000,B15)</f>
        <v>3</v>
      </c>
      <c r="D15" s="10" t="n">
        <f aca="false">COUNTIFS(BOM!$B$2:$B$1000,B15,BOM!$E$2:$E$1000,"Make*")</f>
        <v>0</v>
      </c>
      <c r="E15" s="10" t="n">
        <f aca="false">COUNTIFS(BOM!$B$2:$B$1000,B15,BOM!$E$2:$E$1000,"Buy*")</f>
        <v>2</v>
      </c>
      <c r="F15" s="10" t="n">
        <f aca="false">C15-D15-E15</f>
        <v>1</v>
      </c>
    </row>
    <row r="16" customFormat="false" ht="15" hidden="false" customHeight="true" outlineLevel="0" collapsed="false">
      <c r="A16" s="10" t="n">
        <v>13</v>
      </c>
      <c r="B16" s="10" t="s">
        <v>215</v>
      </c>
      <c r="C16" s="10" t="n">
        <f aca="false">COUNTIF(BOM!$B$2:$B$1000,B16)</f>
        <v>4</v>
      </c>
      <c r="D16" s="10" t="n">
        <f aca="false">COUNTIFS(BOM!$B$2:$B$1000,B16,BOM!$E$2:$E$1000,"Make*")</f>
        <v>0</v>
      </c>
      <c r="E16" s="10" t="n">
        <f aca="false">COUNTIFS(BOM!$B$2:$B$1000,B16,BOM!$E$2:$E$1000,"Buy*")</f>
        <v>4</v>
      </c>
      <c r="F16" s="10" t="n">
        <f aca="false">C16-D16-E16</f>
        <v>0</v>
      </c>
    </row>
    <row r="17" customFormat="false" ht="15" hidden="false" customHeight="true" outlineLevel="0" collapsed="false">
      <c r="A17" s="10" t="n">
        <v>14</v>
      </c>
      <c r="B17" s="10" t="s">
        <v>229</v>
      </c>
      <c r="C17" s="10" t="n">
        <f aca="false">COUNTIF(BOM!$B$2:$B$1000,B17)</f>
        <v>5</v>
      </c>
      <c r="D17" s="10" t="n">
        <f aca="false">COUNTIFS(BOM!$B$2:$B$1000,B17,BOM!$E$2:$E$1000,"Make*")</f>
        <v>0</v>
      </c>
      <c r="E17" s="10" t="n">
        <f aca="false">COUNTIFS(BOM!$B$2:$B$1000,B17,BOM!$E$2:$E$1000,"Buy*")</f>
        <v>5</v>
      </c>
      <c r="F17" s="10" t="n">
        <f aca="false">C17-D17-E17</f>
        <v>0</v>
      </c>
    </row>
    <row r="18" customFormat="false" ht="15" hidden="false" customHeight="true" outlineLevel="0" collapsed="false">
      <c r="A18" s="10" t="n">
        <v>15</v>
      </c>
      <c r="B18" s="10" t="s">
        <v>246</v>
      </c>
      <c r="C18" s="10" t="n">
        <f aca="false">COUNTIF(BOM!$B$2:$B$1000,B18)</f>
        <v>3</v>
      </c>
      <c r="D18" s="10" t="n">
        <f aca="false">COUNTIFS(BOM!$B$2:$B$1000,B18,BOM!$E$2:$E$1000,"Make*")</f>
        <v>2</v>
      </c>
      <c r="E18" s="10" t="n">
        <f aca="false">COUNTIFS(BOM!$B$2:$B$1000,B18,BOM!$E$2:$E$1000,"Buy*")</f>
        <v>1</v>
      </c>
      <c r="F18" s="10" t="n">
        <f aca="false">C18-D18-E18</f>
        <v>0</v>
      </c>
    </row>
    <row r="19" customFormat="false" ht="15" hidden="false" customHeight="true" outlineLevel="0" collapsed="false">
      <c r="A19" s="10" t="n">
        <v>16</v>
      </c>
      <c r="B19" s="10" t="s">
        <v>256</v>
      </c>
      <c r="C19" s="10" t="n">
        <f aca="false">COUNTIF(BOM!$B$2:$B$1000,B19)</f>
        <v>4</v>
      </c>
      <c r="D19" s="10" t="n">
        <f aca="false">COUNTIFS(BOM!$B$2:$B$1000,B19,BOM!$E$2:$E$1000,"Make*")</f>
        <v>2</v>
      </c>
      <c r="E19" s="10" t="n">
        <f aca="false">COUNTIFS(BOM!$B$2:$B$1000,B19,BOM!$E$2:$E$1000,"Buy*")</f>
        <v>2</v>
      </c>
      <c r="F19" s="10" t="n">
        <f aca="false">C19-D19-E19</f>
        <v>0</v>
      </c>
    </row>
    <row r="20" customFormat="false" ht="15" hidden="false" customHeight="true" outlineLevel="0" collapsed="false">
      <c r="A20" s="10" t="n">
        <v>17</v>
      </c>
      <c r="B20" s="10" t="s">
        <v>267</v>
      </c>
      <c r="C20" s="10" t="n">
        <f aca="false">COUNTIF(BOM!$B$2:$B$1000,B20)</f>
        <v>5</v>
      </c>
      <c r="D20" s="10" t="n">
        <f aca="false">COUNTIFS(BOM!$B$2:$B$1000,B20,BOM!$E$2:$E$1000,"Make*")</f>
        <v>1</v>
      </c>
      <c r="E20" s="10" t="n">
        <f aca="false">COUNTIFS(BOM!$B$2:$B$1000,B20,BOM!$E$2:$E$1000,"Buy*")</f>
        <v>3</v>
      </c>
      <c r="F20" s="10" t="n">
        <f aca="false">C20-D20-E20</f>
        <v>1</v>
      </c>
    </row>
    <row r="21" customFormat="false" ht="15" hidden="false" customHeight="true" outlineLevel="0" collapsed="false">
      <c r="A21" s="11"/>
      <c r="B21" s="12" t="s">
        <v>293</v>
      </c>
      <c r="C21" s="12" t="n">
        <f aca="false">SUM(C4:C20)</f>
        <v>75</v>
      </c>
      <c r="D21" s="12" t="n">
        <f aca="false">SUM(D4:D20)</f>
        <v>16</v>
      </c>
      <c r="E21" s="12" t="n">
        <f aca="false">SUM(E4:E20)</f>
        <v>55</v>
      </c>
      <c r="F21" s="12" t="n">
        <f aca="false">SUM(F4:F20)</f>
        <v>4</v>
      </c>
    </row>
    <row r="23" customFormat="false" ht="15" hidden="false" customHeight="true" outlineLevel="0" collapsed="false">
      <c r="A23" s="13" t="s">
        <v>294</v>
      </c>
    </row>
    <row r="24" customFormat="false" ht="15" hidden="false" customHeight="true" outlineLevel="0" collapsed="false">
      <c r="A24" s="14" t="n">
        <f aca="false">SUM(BOM!J2:J1000)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2026-09-13T01:37:35Z</dcterms:created>
  <dc:creator>openpyxl</dc:creator>
  <dc:description/>
  <dc:language>en-US</dc:language>
  <cp:lastModifiedBy/>
  <dcterms:modified xsi:type="dcterms:W3CDTF">2026-09-18T00:00:14Z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